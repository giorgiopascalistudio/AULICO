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irico2\03 - AMMINISTRAZIONE\02-ONIRICO DESIGN S.T.P. S.R.L\02-Onirico Design stp srl - STUDIO\CONTABILITA' - ONIRICO DESIGN\06 - NOTULE RIUNIONE - COMMERCIALISTI E CONSULENTI\Interno - Amministrazione e Contabilità\Materiale\"/>
    </mc:Choice>
  </mc:AlternateContent>
  <xr:revisionPtr revIDLastSave="0" documentId="13_ncr:1_{9F499203-3457-4992-BC64-E63769253DD9}" xr6:coauthVersionLast="47" xr6:coauthVersionMax="47" xr10:uidLastSave="{00000000-0000-0000-0000-000000000000}"/>
  <bookViews>
    <workbookView xWindow="390" yWindow="390" windowWidth="19230" windowHeight="14850" xr2:uid="{00000000-000D-0000-FFFF-FFFF00000000}"/>
  </bookViews>
  <sheets>
    <sheet name="01-08 2025" sheetId="1" r:id="rId1"/>
    <sheet name="202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6" i="1"/>
  <c r="B3" i="1"/>
  <c r="B2" i="1"/>
  <c r="E4" i="1"/>
  <c r="F4" i="1"/>
  <c r="G4" i="1"/>
  <c r="H4" i="1"/>
  <c r="I4" i="1"/>
  <c r="J4" i="1"/>
  <c r="K4" i="1"/>
  <c r="L4" i="1"/>
  <c r="M4" i="1"/>
  <c r="N4" i="1"/>
  <c r="D4" i="1"/>
  <c r="B4" i="1" s="1"/>
  <c r="C4" i="1"/>
  <c r="M8" i="1" l="1"/>
  <c r="C4" i="2" l="1"/>
  <c r="D4" i="2"/>
  <c r="E4" i="2"/>
  <c r="F4" i="2"/>
  <c r="G4" i="2"/>
  <c r="H4" i="2"/>
  <c r="I4" i="2"/>
  <c r="J4" i="2"/>
  <c r="K4" i="2"/>
  <c r="L4" i="2"/>
  <c r="M4" i="2"/>
  <c r="N4" i="2"/>
  <c r="B3" i="2"/>
  <c r="B2" i="2"/>
  <c r="B6" i="2"/>
  <c r="N8" i="2"/>
  <c r="N9" i="2" s="1"/>
  <c r="N10" i="2" s="1"/>
  <c r="M8" i="2"/>
  <c r="M9" i="2" s="1"/>
  <c r="M10" i="2" s="1"/>
  <c r="L8" i="2"/>
  <c r="L9" i="2" s="1"/>
  <c r="L10" i="2" s="1"/>
  <c r="K8" i="2"/>
  <c r="K9" i="2" s="1"/>
  <c r="K10" i="2" s="1"/>
  <c r="J8" i="2"/>
  <c r="J9" i="2" s="1"/>
  <c r="J10" i="2" s="1"/>
  <c r="I8" i="2"/>
  <c r="I9" i="2" s="1"/>
  <c r="I10" i="2" s="1"/>
  <c r="H8" i="2"/>
  <c r="H9" i="2" s="1"/>
  <c r="H10" i="2" s="1"/>
  <c r="G8" i="2"/>
  <c r="G9" i="2" s="1"/>
  <c r="G10" i="2" s="1"/>
  <c r="F8" i="2"/>
  <c r="F9" i="2" s="1"/>
  <c r="F10" i="2" s="1"/>
  <c r="E8" i="2"/>
  <c r="E9" i="2" s="1"/>
  <c r="E10" i="2" s="1"/>
  <c r="D8" i="2"/>
  <c r="D9" i="2" s="1"/>
  <c r="D10" i="2" s="1"/>
  <c r="C8" i="2"/>
  <c r="C9" i="2" s="1"/>
  <c r="C10" i="2" s="1"/>
  <c r="K8" i="1"/>
  <c r="K9" i="1" s="1"/>
  <c r="K10" i="1" s="1"/>
  <c r="L8" i="1"/>
  <c r="L9" i="1" s="1"/>
  <c r="M9" i="1"/>
  <c r="N8" i="1"/>
  <c r="N9" i="1" s="1"/>
  <c r="N10" i="1" s="1"/>
  <c r="D8" i="1"/>
  <c r="D9" i="1" s="1"/>
  <c r="D10" i="1" s="1"/>
  <c r="C8" i="1"/>
  <c r="C9" i="1" s="1"/>
  <c r="E8" i="1"/>
  <c r="E9" i="1" s="1"/>
  <c r="F8" i="1"/>
  <c r="F9" i="1" s="1"/>
  <c r="G8" i="1"/>
  <c r="G9" i="1" s="1"/>
  <c r="H8" i="1"/>
  <c r="H9" i="1" s="1"/>
  <c r="I8" i="1"/>
  <c r="I9" i="1" s="1"/>
  <c r="J8" i="1"/>
  <c r="J9" i="1" l="1"/>
  <c r="B4" i="2"/>
  <c r="B8" i="2"/>
  <c r="B9" i="2" s="1"/>
  <c r="B10" i="2" s="1"/>
  <c r="B8" i="1"/>
  <c r="B9" i="1" s="1"/>
  <c r="M10" i="1" l="1"/>
  <c r="B10" i="1" l="1"/>
  <c r="F10" i="1"/>
  <c r="J10" i="1"/>
  <c r="I10" i="1"/>
  <c r="E10" i="1"/>
  <c r="H10" i="1"/>
  <c r="G10" i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C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UTILE PERCHE?:
PERCHE' A NOI BASTAVA FATTURARE 27.906 PER COPRIRE I COSTI FISSI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PERDITA PERCHE?:
PERCHE'  NOI ABBIAMO FATTURATO 30950 IMPORTO CHE NON BASTA A COPRIRE I COSTI FISSI QUINDI AVEVAMO NECESSITA' DI FATTURARE ALMENO 105.000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C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UTILE PERCHE?:
PERCHE' A NOI BASTAVA FATTURARE 27.906 PER COPRIRE I COSTI FISSI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PERDITA PERCHE?:
PERCHE'  NOI ABBIAMO FATTURATO 30950 IMPORTO CHE NON BASTA A COPRIRE I COSTI FISSI QUINDI AVEVAMO NECESSITA' DI FATTURARE ALMENO 105.000
</t>
        </r>
      </text>
    </comment>
  </commentList>
</comments>
</file>

<file path=xl/sharedStrings.xml><?xml version="1.0" encoding="utf-8"?>
<sst xmlns="http://schemas.openxmlformats.org/spreadsheetml/2006/main" count="43" uniqueCount="23">
  <si>
    <t xml:space="preserve">COSTI FISSI </t>
  </si>
  <si>
    <t>COSTI VARIABILI</t>
  </si>
  <si>
    <t>TOTALE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</si>
  <si>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</si>
  <si>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</si>
  <si>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</si>
  <si>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</si>
  <si>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</si>
  <si>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</si>
  <si>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</si>
  <si>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</si>
  <si>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</si>
  <si>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</si>
  <si>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</si>
  <si>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</si>
  <si>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FATTURATO</t>
  </si>
  <si>
    <t>TOTALE COSTI</t>
  </si>
  <si>
    <r>
      <t>Margine di contribuzione (MC)</t>
    </r>
    <r>
      <rPr>
        <sz val="11"/>
        <color theme="1"/>
        <rFont val="Calibri"/>
        <family val="2"/>
        <scheme val="minor"/>
      </rPr>
      <t xml:space="preserve"> = Fatturato – Costi variabili</t>
    </r>
  </si>
  <si>
    <r>
      <t>MC % (sul fatturato)</t>
    </r>
    <r>
      <rPr>
        <sz val="11"/>
        <color theme="1"/>
        <rFont val="Calibri"/>
        <family val="2"/>
        <scheme val="minor"/>
      </rPr>
      <t xml:space="preserve"> = MC / Fatturato</t>
    </r>
  </si>
  <si>
    <r>
      <t>Break Even Point (fatturato minimo per coprire i costi)</t>
    </r>
    <r>
      <rPr>
        <sz val="11"/>
        <color theme="1"/>
        <rFont val="Calibri"/>
        <family val="2"/>
        <scheme val="minor"/>
      </rPr>
      <t xml:space="preserve"> = Costi fissi / MC%</t>
    </r>
  </si>
  <si>
    <t xml:space="preserve"> - Sotto questa soglia sei in perdita</t>
  </si>
  <si>
    <t>- Sopra questa soglia sei in utile</t>
  </si>
  <si>
    <t>fatturato necessario per raggiungere il BEP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</si>
</sst>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€-410]\ #,##0.00;[Red]\-[$€-410]\ #,##0.00"/>
    <numFmt numFmtId="165" formatCode="#,##0.00\ [$€-410];[Red]\-#,##0.00\ [$€-410]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12"/>
      <color rgb="FFC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0">
    <xf numFmtId="0" fontId="0" fillId="0" borderId="0"/>
    <xf numFmtId="0" fontId="3" fillId="0" borderId="0"/>
    <xf numFmtId="0" fontId="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3">
    <xf numFmtId="0" fontId="0" fillId="0" borderId="0" xfId="0"/>
    <xf numFmtId="49" fontId="6" fillId="2" borderId="1" xfId="1" applyNumberFormat="1" applyFont="1" applyFill="1" applyBorder="1" applyAlignment="1">
      <alignment vertical="center" wrapText="1"/>
    </xf>
    <xf numFmtId="164" fontId="7" fillId="2" borderId="1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vertical="center"/>
    </xf>
    <xf numFmtId="164" fontId="7" fillId="4" borderId="1" xfId="1" applyNumberFormat="1" applyFont="1" applyFill="1" applyBorder="1" applyAlignment="1">
      <alignment horizontal="right" vertical="center"/>
    </xf>
    <xf numFmtId="49" fontId="6" fillId="4" borderId="1" xfId="1" applyNumberFormat="1" applyFont="1" applyFill="1" applyBorder="1" applyAlignment="1">
      <alignment vertical="center" wrapText="1"/>
    </xf>
    <xf numFmtId="49" fontId="6" fillId="3" borderId="1" xfId="1" applyNumberFormat="1" applyFont="1" applyFill="1" applyBorder="1" applyAlignment="1">
      <alignment vertical="center" wrapText="1"/>
    </xf>
    <xf numFmtId="164" fontId="7" fillId="3" borderId="1" xfId="1" applyNumberFormat="1" applyFont="1" applyFill="1" applyBorder="1" applyAlignment="1">
      <alignment vertical="center"/>
    </xf>
    <xf numFmtId="164" fontId="7" fillId="4" borderId="1" xfId="1" applyNumberFormat="1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horizontal="right" vertical="center"/>
    </xf>
    <xf numFmtId="0" fontId="2" fillId="0" borderId="0" xfId="0" applyFont="1"/>
    <xf numFmtId="165" fontId="2" fillId="0" borderId="0" xfId="0" applyNumberFormat="1" applyFont="1"/>
    <xf numFmtId="10" fontId="2" fillId="0" borderId="0" xfId="0" applyNumberFormat="1" applyFont="1"/>
    <xf numFmtId="165" fontId="2" fillId="0" borderId="2" xfId="0" applyNumberFormat="1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0">
    <cellStyle name="Migliaia 2" xfId="8" xr:uid="{00000000-0005-0000-0000-000000000000}"/>
    <cellStyle name="Migliaia 3" xfId="3" xr:uid="{00000000-0005-0000-0000-000001000000}"/>
    <cellStyle name="Normale" xfId="0" builtinId="0"/>
    <cellStyle name="Normale 2" xfId="2" xr:uid="{00000000-0005-0000-0000-000003000000}"/>
    <cellStyle name="Normale 3" xfId="5" xr:uid="{00000000-0005-0000-0000-000004000000}"/>
    <cellStyle name="Normale 4" xfId="1" xr:uid="{00000000-0005-0000-0000-000005000000}"/>
    <cellStyle name="Percentuale 2" xfId="7" xr:uid="{00000000-0005-0000-0000-000006000000}"/>
    <cellStyle name="Percentuale 3" xfId="4" xr:uid="{00000000-0005-0000-0000-000007000000}"/>
    <cellStyle name="Valuta 2" xfId="6" xr:uid="{00000000-0005-0000-0000-000008000000}"/>
    <cellStyle name="Valuta 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87364732292033"/>
          <c:y val="0.17459576652101677"/>
          <c:w val="0.79600240594925631"/>
          <c:h val="0.543803222513852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'01-08 2025'!$A$6</c:f>
              <c:strCache>
                <c:ptCount val="1"/>
                <c:pt idx="0">
                  <c:v>FATTURATO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'01-08 2025'!$C$6:$N$6</c:f>
              <c:numCache>
                <c:formatCode>[$€-410]\ #,##0.00;[Red]\-[$€-410]\ #,##0.00</c:formatCode>
                <c:ptCount val="12"/>
                <c:pt idx="0">
                  <c:v>14380</c:v>
                </c:pt>
                <c:pt idx="1">
                  <c:v>10660</c:v>
                </c:pt>
                <c:pt idx="2">
                  <c:v>40440</c:v>
                </c:pt>
                <c:pt idx="3">
                  <c:v>41453.279999999999</c:v>
                </c:pt>
                <c:pt idx="4">
                  <c:v>26380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5-4E78-A37F-B030FB20D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61728"/>
        <c:axId val="109563264"/>
      </c:barChart>
      <c:lineChart>
        <c:grouping val="standard"/>
        <c:varyColors val="0"/>
        <c:ser>
          <c:idx val="1"/>
          <c:order val="1"/>
          <c:tx>
            <c:strRef>
              <c:f>'01-08 2025'!$A$10</c:f>
              <c:strCache>
                <c:ptCount val="1"/>
                <c:pt idx="0">
                  <c:v>Break Even Point (fatturato minimo per coprire i costi) = Costi fissi / MC%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'01-08 2025'!$C$10:$N$10</c:f>
              <c:numCache>
                <c:formatCode>#,##0.00\ [$€-410];[Red]\-#,##0.00\ [$€-410]</c:formatCode>
                <c:ptCount val="12"/>
                <c:pt idx="0">
                  <c:v>19033.641367865504</c:v>
                </c:pt>
                <c:pt idx="1">
                  <c:v>44503.817828183615</c:v>
                </c:pt>
                <c:pt idx="2">
                  <c:v>56211.733628896058</c:v>
                </c:pt>
                <c:pt idx="3">
                  <c:v>15957.469296750965</c:v>
                </c:pt>
                <c:pt idx="4">
                  <c:v>33933.786034593213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5-4E78-A37F-B030FB20D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61728"/>
        <c:axId val="109563264"/>
      </c:lineChart>
      <c:catAx>
        <c:axId val="10956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563264"/>
        <c:crosses val="autoZero"/>
        <c:auto val="1"/>
        <c:lblAlgn val="ctr"/>
        <c:lblOffset val="100"/>
        <c:noMultiLvlLbl val="0"/>
      </c:catAx>
      <c:valAx>
        <c:axId val="1095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410]\ #,##0.00;[Red]\-[$€-410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56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10</xdr:row>
      <xdr:rowOff>9525</xdr:rowOff>
    </xdr:from>
    <xdr:to>
      <xdr:col>1</xdr:col>
      <xdr:colOff>1009650</xdr:colOff>
      <xdr:row>18</xdr:row>
      <xdr:rowOff>161925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3FEBA4CA-FF58-D214-160D-C3DC506DBC0B}"/>
            </a:ext>
          </a:extLst>
        </xdr:cNvPr>
        <xdr:cNvCxnSpPr>
          <a:cxnSpLocks/>
        </xdr:cNvCxnSpPr>
      </xdr:nvCxnSpPr>
      <xdr:spPr>
        <a:xfrm>
          <a:off x="4981575" y="2781300"/>
          <a:ext cx="352425" cy="1676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238124</xdr:colOff>
      <xdr:row>11</xdr:row>
      <xdr:rowOff>52386</xdr:rowOff>
    </xdr:from>
    <xdr:to>
      <xdr:col>12</xdr:col>
      <xdr:colOff>828674</xdr:colOff>
      <xdr:row>34</xdr:row>
      <xdr:rowOff>57149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C74F5B67-8876-0C53-D5E8-CF0AB72F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10</xdr:row>
      <xdr:rowOff>19050</xdr:rowOff>
    </xdr:from>
    <xdr:to>
      <xdr:col>1</xdr:col>
      <xdr:colOff>695325</xdr:colOff>
      <xdr:row>12</xdr:row>
      <xdr:rowOff>161925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6EE5F1B1-1BBC-7CB5-1F82-182022DE5702}"/>
            </a:ext>
          </a:extLst>
        </xdr:cNvPr>
        <xdr:cNvCxnSpPr/>
      </xdr:nvCxnSpPr>
      <xdr:spPr>
        <a:xfrm>
          <a:off x="5105400" y="3095625"/>
          <a:ext cx="57150" cy="523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4" workbookViewId="0">
      <selection activeCell="G7" sqref="G7"/>
    </sheetView>
  </sheetViews>
  <sheetFormatPr defaultRowHeight="15" x14ac:dyDescent="0.25"/>
  <cols>
    <col min="1" max="1" width="64.85546875" customWidth="1"/>
    <col min="2" max="2" width="25.42578125" customWidth="1"/>
    <col min="3" max="8" width="13.42578125" bestFit="1" customWidth="1"/>
    <col min="9" max="9" width="14.7109375" bestFit="1" customWidth="1"/>
    <col min="10" max="10" width="13.42578125" bestFit="1" customWidth="1"/>
    <col min="11" max="11" width="15.85546875" bestFit="1" customWidth="1"/>
    <col min="12" max="12" width="13.42578125" bestFit="1" customWidth="1"/>
    <col min="13" max="13" width="14.85546875" bestFit="1" customWidth="1"/>
    <col min="14" max="14" width="14.7109375" bestFit="1" customWidth="1"/>
  </cols>
  <sheetData>
    <row r="1" spans="1:14" ht="15.75" x14ac:dyDescent="0.25">
      <c r="A1" s="6"/>
      <c r="B1" s="9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</row>
    <row r="2" spans="1:14" ht="31.5" customHeight="1" x14ac:dyDescent="0.25">
      <c r="A2" s="1" t="s">
        <v>0</v>
      </c>
      <c r="B2" s="2">
        <f>SUM(C2:N2)</f>
        <v>123756.43</v>
      </c>
      <c r="C2" s="3">
        <v>17961.96</v>
      </c>
      <c r="D2" s="3">
        <v>17150.21</v>
      </c>
      <c r="E2" s="3">
        <v>48333.32</v>
      </c>
      <c r="F2" s="3">
        <v>13825.62</v>
      </c>
      <c r="G2" s="3">
        <v>26485.32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ht="31.5" customHeight="1" x14ac:dyDescent="0.25">
      <c r="A3" s="1" t="s">
        <v>1</v>
      </c>
      <c r="B3" s="2">
        <f t="shared" ref="B3:B4" si="0">SUM(C3:N3)</f>
        <v>24357.969999999998</v>
      </c>
      <c r="C3" s="3">
        <v>809.66</v>
      </c>
      <c r="D3" s="3">
        <v>6552.01</v>
      </c>
      <c r="E3" s="3">
        <v>5667.91</v>
      </c>
      <c r="F3" s="3">
        <v>5537.98</v>
      </c>
      <c r="G3" s="3">
        <v>5790.41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ht="31.5" customHeight="1" x14ac:dyDescent="0.25">
      <c r="A4" s="1" t="s">
        <v>16</v>
      </c>
      <c r="B4" s="2">
        <f t="shared" si="0"/>
        <v>148114.4</v>
      </c>
      <c r="C4" s="2">
        <f>C2+C3</f>
        <v>18771.62</v>
      </c>
      <c r="D4" s="2">
        <f>D2+D3</f>
        <v>23702.22</v>
      </c>
      <c r="E4" s="2">
        <f t="shared" ref="E4:N4" si="1">E2+E3</f>
        <v>54001.229999999996</v>
      </c>
      <c r="F4" s="2">
        <f t="shared" si="1"/>
        <v>19363.599999999999</v>
      </c>
      <c r="G4" s="2">
        <f t="shared" si="1"/>
        <v>32275.73</v>
      </c>
      <c r="H4" s="2">
        <f t="shared" si="1"/>
        <v>0</v>
      </c>
      <c r="I4" s="2">
        <f t="shared" si="1"/>
        <v>0</v>
      </c>
      <c r="J4" s="2">
        <f t="shared" si="1"/>
        <v>0</v>
      </c>
      <c r="K4" s="2">
        <f t="shared" si="1"/>
        <v>0</v>
      </c>
      <c r="L4" s="2">
        <f t="shared" si="1"/>
        <v>0</v>
      </c>
      <c r="M4" s="2">
        <f t="shared" si="1"/>
        <v>0</v>
      </c>
      <c r="N4" s="2">
        <f t="shared" si="1"/>
        <v>0</v>
      </c>
    </row>
    <row r="6" spans="1:14" ht="31.5" customHeight="1" x14ac:dyDescent="0.25">
      <c r="A6" s="5" t="s">
        <v>15</v>
      </c>
      <c r="B6" s="4">
        <f>SUM(C6:N6)</f>
        <v>133313.28</v>
      </c>
      <c r="C6" s="8">
        <v>14380</v>
      </c>
      <c r="D6" s="8">
        <v>10660</v>
      </c>
      <c r="E6" s="8">
        <v>40440</v>
      </c>
      <c r="F6" s="8">
        <v>41453.279999999999</v>
      </c>
      <c r="G6" s="8">
        <v>26380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8" spans="1:14" x14ac:dyDescent="0.25">
      <c r="A8" s="10" t="s">
        <v>17</v>
      </c>
      <c r="B8" s="11">
        <f>B6-B3</f>
        <v>108955.31</v>
      </c>
      <c r="C8" s="11">
        <f>C6-C3</f>
        <v>13570.34</v>
      </c>
      <c r="D8" s="11">
        <f>D6-D3</f>
        <v>4107.99</v>
      </c>
      <c r="E8" s="11">
        <f t="shared" ref="E8:N8" si="2">E6-E3</f>
        <v>34772.089999999997</v>
      </c>
      <c r="F8" s="11">
        <f t="shared" si="2"/>
        <v>35915.300000000003</v>
      </c>
      <c r="G8" s="11">
        <f t="shared" si="2"/>
        <v>20589.59</v>
      </c>
      <c r="H8" s="11">
        <f t="shared" si="2"/>
        <v>0</v>
      </c>
      <c r="I8" s="11">
        <f t="shared" si="2"/>
        <v>0</v>
      </c>
      <c r="J8" s="11">
        <f t="shared" si="2"/>
        <v>0</v>
      </c>
      <c r="K8" s="11">
        <f t="shared" si="2"/>
        <v>0</v>
      </c>
      <c r="L8" s="11">
        <f t="shared" si="2"/>
        <v>0</v>
      </c>
      <c r="M8" s="11">
        <f>M6-M3</f>
        <v>0</v>
      </c>
      <c r="N8" s="11">
        <f t="shared" si="2"/>
        <v>0</v>
      </c>
    </row>
    <row r="9" spans="1:14" ht="15.75" thickBot="1" x14ac:dyDescent="0.3">
      <c r="A9" s="10" t="s">
        <v>18</v>
      </c>
      <c r="B9" s="12">
        <f>B8/B6</f>
        <v>0.81728774507685953</v>
      </c>
      <c r="C9" s="12">
        <f>C8/C6</f>
        <v>0.94369541029207238</v>
      </c>
      <c r="D9" s="12">
        <f>D8/D6</f>
        <v>0.38536491557223262</v>
      </c>
      <c r="E9" s="12">
        <f t="shared" ref="E9:I9" si="3">E8/E6</f>
        <v>0.85984396636993066</v>
      </c>
      <c r="F9" s="12">
        <f t="shared" si="3"/>
        <v>0.86640429900842597</v>
      </c>
      <c r="G9" s="12">
        <f t="shared" si="3"/>
        <v>0.78049999999999997</v>
      </c>
      <c r="H9" s="12" t="e">
        <f t="shared" si="3"/>
        <v>#DIV/0!</v>
      </c>
      <c r="I9" s="12" t="e">
        <f t="shared" si="3"/>
        <v>#DIV/0!</v>
      </c>
      <c r="J9" s="12" t="e">
        <f>J8/J6</f>
        <v>#DIV/0!</v>
      </c>
      <c r="K9" s="12" t="e">
        <f>K8/K6</f>
        <v>#DIV/0!</v>
      </c>
      <c r="L9" s="12" t="e">
        <f t="shared" ref="L9:N9" si="4">L8/L6</f>
        <v>#DIV/0!</v>
      </c>
      <c r="M9" s="12" t="e">
        <f t="shared" si="4"/>
        <v>#DIV/0!</v>
      </c>
      <c r="N9" s="12" t="e">
        <f t="shared" si="4"/>
        <v>#DIV/0!</v>
      </c>
    </row>
    <row r="10" spans="1:14" ht="15.75" thickBot="1" x14ac:dyDescent="0.3">
      <c r="A10" s="10" t="s">
        <v>19</v>
      </c>
      <c r="B10" s="13">
        <f>B2/B9</f>
        <v>151423.32764130909</v>
      </c>
      <c r="C10" s="11">
        <f>C2/C9</f>
        <v>19033.641367865504</v>
      </c>
      <c r="D10" s="11">
        <f>D2/D9</f>
        <v>44503.817828183615</v>
      </c>
      <c r="E10" s="11">
        <f t="shared" ref="E10:J10" si="5">E2/E9</f>
        <v>56211.733628896058</v>
      </c>
      <c r="F10" s="11">
        <f t="shared" si="5"/>
        <v>15957.469296750965</v>
      </c>
      <c r="G10" s="11">
        <f t="shared" si="5"/>
        <v>33933.786034593213</v>
      </c>
      <c r="H10" s="11" t="e">
        <f t="shared" si="5"/>
        <v>#DIV/0!</v>
      </c>
      <c r="I10" s="11" t="e">
        <f t="shared" si="5"/>
        <v>#DIV/0!</v>
      </c>
      <c r="J10" s="11" t="e">
        <f t="shared" si="5"/>
        <v>#DIV/0!</v>
      </c>
      <c r="K10" s="11" t="e">
        <f>K2/K9</f>
        <v>#DIV/0!</v>
      </c>
      <c r="L10" s="11" t="e">
        <f t="shared" ref="L10" si="6">L2/L9</f>
        <v>#DIV/0!</v>
      </c>
      <c r="M10" s="11" t="e">
        <f>M2/M9</f>
        <v>#DIV/0!</v>
      </c>
      <c r="N10" s="11" t="e">
        <f t="shared" ref="N10" si="7">N2/N9</f>
        <v>#DIV/0!</v>
      </c>
    </row>
    <row r="19" spans="2:3" ht="15.75" thickBot="1" x14ac:dyDescent="0.3"/>
    <row r="20" spans="2:3" x14ac:dyDescent="0.25">
      <c r="B20" s="19" t="s">
        <v>20</v>
      </c>
      <c r="C20" s="20"/>
    </row>
    <row r="21" spans="2:3" ht="15.75" thickBot="1" x14ac:dyDescent="0.3">
      <c r="B21" s="21" t="s">
        <v>21</v>
      </c>
      <c r="C21" s="22"/>
    </row>
    <row r="37" spans="1:3" ht="17.25" x14ac:dyDescent="0.25">
      <c r="A37" s="18"/>
      <c r="B37" s="18"/>
      <c r="C37" s="18"/>
    </row>
    <row r="39" spans="1:3" ht="17.25" x14ac:dyDescent="0.25">
      <c r="A39" s="17"/>
      <c r="B39" s="18"/>
      <c r="C39" s="18"/>
    </row>
  </sheetData>
  <mergeCells count="4">
    <mergeCell ref="A39:C39"/>
    <mergeCell ref="B20:C20"/>
    <mergeCell ref="B21:C21"/>
    <mergeCell ref="A37:C37"/>
  </mergeCells>
  <phoneticPr fontId="10" type="noConversion"/>
  <pageMargins left="0.7" right="0.7" top="0.75" bottom="0.75" header="0.3" footer="0.3"/>
  <pageSetup paperSize="9" orientation="portrait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23" sqref="A23"/>
    </sheetView>
  </sheetViews>
  <sheetFormatPr defaultRowHeight="15" x14ac:dyDescent="0.25"/>
  <cols>
    <col min="1" max="1" width="67" bestFit="1" customWidth="1"/>
    <col min="2" max="2" width="15.140625" customWidth="1"/>
    <col min="3" max="4" width="14.7109375" bestFit="1" customWidth="1"/>
    <col min="5" max="7" width="13.42578125" bestFit="1" customWidth="1"/>
    <col min="8" max="8" width="14.7109375" bestFit="1" customWidth="1"/>
    <col min="9" max="10" width="13.42578125" bestFit="1" customWidth="1"/>
    <col min="11" max="11" width="15.85546875" bestFit="1" customWidth="1"/>
    <col min="12" max="12" width="13.42578125" bestFit="1" customWidth="1"/>
    <col min="13" max="13" width="14.85546875" bestFit="1" customWidth="1"/>
    <col min="14" max="14" width="14.7109375" bestFit="1" customWidth="1"/>
    <col min="15" max="16" width="9" customWidth="1"/>
  </cols>
  <sheetData>
    <row r="1" spans="1:14" ht="15.75" x14ac:dyDescent="0.25">
      <c r="A1" s="6"/>
      <c r="B1" s="9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</row>
    <row r="2" spans="1:14" ht="15.75" x14ac:dyDescent="0.25">
      <c r="A2" s="1" t="s">
        <v>0</v>
      </c>
      <c r="B2" s="2">
        <f>SUM(C2:N2)</f>
        <v>600000</v>
      </c>
      <c r="C2" s="3">
        <v>50000</v>
      </c>
      <c r="D2" s="3">
        <v>50000</v>
      </c>
      <c r="E2" s="3">
        <v>50000</v>
      </c>
      <c r="F2" s="3">
        <v>50000</v>
      </c>
      <c r="G2" s="3">
        <v>50000</v>
      </c>
      <c r="H2" s="3">
        <v>50000</v>
      </c>
      <c r="I2" s="3">
        <v>50000</v>
      </c>
      <c r="J2" s="3">
        <v>50000</v>
      </c>
      <c r="K2" s="3">
        <v>50000</v>
      </c>
      <c r="L2" s="3">
        <v>50000</v>
      </c>
      <c r="M2" s="3">
        <v>50000</v>
      </c>
      <c r="N2" s="3">
        <v>50000</v>
      </c>
    </row>
    <row r="3" spans="1:14" ht="15.75" x14ac:dyDescent="0.25">
      <c r="A3" s="1" t="s">
        <v>1</v>
      </c>
      <c r="B3" s="2">
        <f>SUM(C3:N3)</f>
        <v>120000</v>
      </c>
      <c r="C3" s="3">
        <v>10000</v>
      </c>
      <c r="D3" s="3">
        <v>10000</v>
      </c>
      <c r="E3" s="3">
        <v>10000</v>
      </c>
      <c r="F3" s="3">
        <v>10000</v>
      </c>
      <c r="G3" s="3">
        <v>10000</v>
      </c>
      <c r="H3" s="3">
        <v>10000</v>
      </c>
      <c r="I3" s="3">
        <v>10000</v>
      </c>
      <c r="J3" s="3">
        <v>10000</v>
      </c>
      <c r="K3" s="3">
        <v>10000</v>
      </c>
      <c r="L3" s="3">
        <v>10000</v>
      </c>
      <c r="M3" s="3">
        <v>10000</v>
      </c>
      <c r="N3" s="3">
        <v>10000</v>
      </c>
    </row>
    <row r="4" spans="1:14" ht="15.75" x14ac:dyDescent="0.25">
      <c r="A4" s="1" t="s">
        <v>16</v>
      </c>
      <c r="B4" s="2">
        <f>SUM(B2:B3)</f>
        <v>720000</v>
      </c>
      <c r="C4" s="2">
        <f t="shared" ref="C4:N4" si="0">SUM(C2:C3)</f>
        <v>60000</v>
      </c>
      <c r="D4" s="2">
        <f t="shared" si="0"/>
        <v>60000</v>
      </c>
      <c r="E4" s="2">
        <f t="shared" si="0"/>
        <v>60000</v>
      </c>
      <c r="F4" s="2">
        <f t="shared" si="0"/>
        <v>60000</v>
      </c>
      <c r="G4" s="2">
        <f t="shared" si="0"/>
        <v>60000</v>
      </c>
      <c r="H4" s="2">
        <f t="shared" si="0"/>
        <v>60000</v>
      </c>
      <c r="I4" s="2">
        <f t="shared" si="0"/>
        <v>60000</v>
      </c>
      <c r="J4" s="2">
        <f t="shared" si="0"/>
        <v>60000</v>
      </c>
      <c r="K4" s="2">
        <f t="shared" si="0"/>
        <v>60000</v>
      </c>
      <c r="L4" s="2">
        <f t="shared" si="0"/>
        <v>60000</v>
      </c>
      <c r="M4" s="2">
        <f t="shared" si="0"/>
        <v>60000</v>
      </c>
      <c r="N4" s="2">
        <f t="shared" si="0"/>
        <v>60000</v>
      </c>
    </row>
    <row r="6" spans="1:14" ht="15.75" x14ac:dyDescent="0.25">
      <c r="A6" s="5" t="s">
        <v>15</v>
      </c>
      <c r="B6" s="4">
        <f>SUM(C6:N6)</f>
        <v>900000</v>
      </c>
      <c r="C6" s="8">
        <v>75000</v>
      </c>
      <c r="D6" s="8">
        <v>75000</v>
      </c>
      <c r="E6" s="8">
        <v>75000</v>
      </c>
      <c r="F6" s="8">
        <v>75000</v>
      </c>
      <c r="G6" s="8">
        <v>75000</v>
      </c>
      <c r="H6" s="8">
        <v>75000</v>
      </c>
      <c r="I6" s="8">
        <v>75000</v>
      </c>
      <c r="J6" s="8">
        <v>75000</v>
      </c>
      <c r="K6" s="8">
        <v>75000</v>
      </c>
      <c r="L6" s="8">
        <v>75000</v>
      </c>
      <c r="M6" s="8">
        <v>75000</v>
      </c>
      <c r="N6" s="8">
        <v>75000</v>
      </c>
    </row>
    <row r="8" spans="1:14" x14ac:dyDescent="0.25">
      <c r="A8" s="10" t="s">
        <v>17</v>
      </c>
      <c r="B8" s="11">
        <f>B6-B3</f>
        <v>780000</v>
      </c>
      <c r="C8" s="11">
        <f>C6-C3</f>
        <v>65000</v>
      </c>
      <c r="D8" s="11">
        <f>D6-D3</f>
        <v>65000</v>
      </c>
      <c r="E8" s="11">
        <f t="shared" ref="E8:N8" si="1">E6-E3</f>
        <v>65000</v>
      </c>
      <c r="F8" s="11">
        <f t="shared" si="1"/>
        <v>65000</v>
      </c>
      <c r="G8" s="11">
        <f t="shared" si="1"/>
        <v>65000</v>
      </c>
      <c r="H8" s="11">
        <f t="shared" si="1"/>
        <v>65000</v>
      </c>
      <c r="I8" s="11">
        <f t="shared" si="1"/>
        <v>65000</v>
      </c>
      <c r="J8" s="11">
        <f t="shared" si="1"/>
        <v>65000</v>
      </c>
      <c r="K8" s="11">
        <f t="shared" si="1"/>
        <v>65000</v>
      </c>
      <c r="L8" s="11">
        <f t="shared" si="1"/>
        <v>65000</v>
      </c>
      <c r="M8" s="11">
        <f t="shared" si="1"/>
        <v>65000</v>
      </c>
      <c r="N8" s="11">
        <f t="shared" si="1"/>
        <v>65000</v>
      </c>
    </row>
    <row r="9" spans="1:14" ht="15.75" thickBot="1" x14ac:dyDescent="0.3">
      <c r="A9" s="10" t="s">
        <v>18</v>
      </c>
      <c r="B9" s="12">
        <f>B8/B6</f>
        <v>0.8666666666666667</v>
      </c>
      <c r="C9" s="12">
        <f>C8/C6</f>
        <v>0.8666666666666667</v>
      </c>
      <c r="D9" s="12">
        <f>D8/D6</f>
        <v>0.8666666666666667</v>
      </c>
      <c r="E9" s="12">
        <f t="shared" ref="E9:I9" si="2">E8/E6</f>
        <v>0.8666666666666667</v>
      </c>
      <c r="F9" s="12">
        <f t="shared" si="2"/>
        <v>0.8666666666666667</v>
      </c>
      <c r="G9" s="12">
        <f t="shared" si="2"/>
        <v>0.8666666666666667</v>
      </c>
      <c r="H9" s="12">
        <f t="shared" si="2"/>
        <v>0.8666666666666667</v>
      </c>
      <c r="I9" s="12">
        <f t="shared" si="2"/>
        <v>0.8666666666666667</v>
      </c>
      <c r="J9" s="12">
        <f>J8/J6</f>
        <v>0.8666666666666667</v>
      </c>
      <c r="K9" s="12">
        <f>K8/K6</f>
        <v>0.8666666666666667</v>
      </c>
      <c r="L9" s="12">
        <f t="shared" ref="L9:N9" si="3">L8/L6</f>
        <v>0.8666666666666667</v>
      </c>
      <c r="M9" s="12">
        <f t="shared" si="3"/>
        <v>0.8666666666666667</v>
      </c>
      <c r="N9" s="12">
        <f t="shared" si="3"/>
        <v>0.8666666666666667</v>
      </c>
    </row>
    <row r="10" spans="1:14" ht="15.75" thickBot="1" x14ac:dyDescent="0.3">
      <c r="A10" s="10" t="s">
        <v>19</v>
      </c>
      <c r="B10" s="13">
        <f>B2/B9</f>
        <v>692307.69230769225</v>
      </c>
      <c r="C10" s="11">
        <f>C2/C9</f>
        <v>57692.307692307688</v>
      </c>
      <c r="D10" s="11">
        <f t="shared" ref="D10:N10" si="4">D2/D9</f>
        <v>57692.307692307688</v>
      </c>
      <c r="E10" s="11">
        <f t="shared" si="4"/>
        <v>57692.307692307688</v>
      </c>
      <c r="F10" s="11">
        <f t="shared" si="4"/>
        <v>57692.307692307688</v>
      </c>
      <c r="G10" s="11">
        <f t="shared" si="4"/>
        <v>57692.307692307688</v>
      </c>
      <c r="H10" s="11">
        <f t="shared" si="4"/>
        <v>57692.307692307688</v>
      </c>
      <c r="I10" s="11">
        <f t="shared" si="4"/>
        <v>57692.307692307688</v>
      </c>
      <c r="J10" s="11">
        <f t="shared" si="4"/>
        <v>57692.307692307688</v>
      </c>
      <c r="K10" s="11">
        <f t="shared" si="4"/>
        <v>57692.307692307688</v>
      </c>
      <c r="L10" s="11">
        <f t="shared" si="4"/>
        <v>57692.307692307688</v>
      </c>
      <c r="M10" s="11">
        <f t="shared" si="4"/>
        <v>57692.307692307688</v>
      </c>
      <c r="N10" s="11">
        <f t="shared" si="4"/>
        <v>57692.307692307688</v>
      </c>
    </row>
    <row r="13" spans="1:14" ht="15.75" thickBot="1" x14ac:dyDescent="0.3"/>
    <row r="14" spans="1:14" ht="15.75" thickBot="1" x14ac:dyDescent="0.3">
      <c r="B14" s="14" t="s">
        <v>22</v>
      </c>
      <c r="C14" s="15"/>
      <c r="D14" s="16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01-08 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Flore</dc:creator>
  <cp:lastModifiedBy>amministrazione@oniricodesign.com</cp:lastModifiedBy>
  <dcterms:created xsi:type="dcterms:W3CDTF">2025-09-05T06:57:29Z</dcterms:created>
  <dcterms:modified xsi:type="dcterms:W3CDTF">2026-06-04T11:13:38Z</dcterms:modified>
</cp:coreProperties>
</file>