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\\192.168.1.185\03 - amministrazione\02-ONIRICO DESIGN S.T.P. S.R.L\02-Onirico Design stp srl - STUDIO\CONTABILITA' - ONIRICO DESIGN\06 - NOTULE RIUNIONE - COMMERCIALISTI E CONSULENTI\Interno - Amministrazione e Contabilità\Materiale\"/>
    </mc:Choice>
  </mc:AlternateContent>
  <xr:revisionPtr revIDLastSave="0" documentId="13_ncr:1_{5726FF03-33C3-47E8-A60A-A9B7E683543E}" xr6:coauthVersionLast="45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Foglio1" sheetId="1" r:id="rId1"/>
    <sheet name="Foglio2" sheetId="2" r:id="rId2"/>
    <sheet name="Foglio3" sheetId="3" r:id="rId3"/>
    <sheet name="MAGGIO 2026" sheetId="4" r:id="rId4"/>
    <sheet name="GIUGNO 2026" sheetId="5" r:id="rId5"/>
    <sheet name="LUGLIO 202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6" l="1"/>
  <c r="C20" i="6"/>
  <c r="C37" i="6"/>
  <c r="C35" i="6"/>
  <c r="C32" i="6"/>
  <c r="C30" i="6"/>
  <c r="C28" i="6"/>
  <c r="C8" i="6"/>
  <c r="C6" i="6"/>
  <c r="C39" i="6" l="1"/>
  <c r="C19" i="5"/>
  <c r="C7" i="5" l="1"/>
  <c r="I9" i="5" l="1"/>
  <c r="I8" i="5" s="1"/>
  <c r="C36" i="5"/>
  <c r="C34" i="5"/>
  <c r="C31" i="5"/>
  <c r="C29" i="5"/>
  <c r="C27" i="5"/>
  <c r="C5" i="5"/>
  <c r="C3" i="5"/>
  <c r="C38" i="5" s="1"/>
  <c r="C14" i="4" l="1"/>
  <c r="C20" i="4" l="1"/>
  <c r="C42" i="4"/>
  <c r="C40" i="4"/>
  <c r="C38" i="4"/>
  <c r="C35" i="4"/>
  <c r="C33" i="4"/>
  <c r="C31" i="4"/>
  <c r="C29" i="4"/>
  <c r="I9" i="4"/>
  <c r="C8" i="4"/>
  <c r="C44" i="4" s="1"/>
  <c r="C6" i="4"/>
  <c r="C3" i="4"/>
  <c r="C43" i="3" l="1"/>
  <c r="C8" i="3"/>
  <c r="C40" i="3"/>
  <c r="I25" i="3"/>
  <c r="I23" i="3"/>
  <c r="C20" i="3"/>
  <c r="C3" i="3" l="1"/>
  <c r="C27" i="3" l="1"/>
  <c r="C5" i="3" l="1"/>
  <c r="C36" i="3" l="1"/>
  <c r="C31" i="3" l="1"/>
  <c r="C38" i="3" l="1"/>
  <c r="C33" i="3"/>
  <c r="C29" i="3"/>
  <c r="C110" i="2" l="1"/>
  <c r="C95" i="2"/>
  <c r="C78" i="2" l="1"/>
  <c r="C74" i="2" s="1"/>
  <c r="C92" i="2" l="1"/>
  <c r="C82" i="2" l="1"/>
  <c r="C79" i="2"/>
  <c r="C100" i="2" l="1"/>
  <c r="C102" i="2"/>
  <c r="C104" i="2"/>
  <c r="C106" i="2"/>
  <c r="C108" i="2"/>
  <c r="C112" i="2"/>
  <c r="I74" i="2"/>
  <c r="C119" i="2" l="1"/>
  <c r="C54" i="2"/>
  <c r="C36" i="2" l="1"/>
  <c r="C60" i="2"/>
  <c r="C44" i="2"/>
  <c r="C40" i="2"/>
  <c r="C68" i="2"/>
  <c r="C66" i="2"/>
  <c r="C64" i="2"/>
  <c r="C62" i="2"/>
  <c r="C70" i="2" l="1"/>
  <c r="C30" i="2"/>
  <c r="C28" i="2"/>
  <c r="C17" i="2"/>
  <c r="C26" i="2" l="1"/>
  <c r="C4" i="2"/>
  <c r="C22" i="2"/>
  <c r="C2" i="2"/>
  <c r="C24" i="2"/>
  <c r="C20" i="2"/>
  <c r="C7" i="2"/>
  <c r="C32" i="2" l="1"/>
  <c r="C22" i="1"/>
  <c r="C2" i="1"/>
  <c r="C28" i="1"/>
  <c r="C23" i="1" l="1"/>
  <c r="C20" i="1" l="1"/>
  <c r="C26" i="1"/>
  <c r="C10" i="1"/>
  <c r="C6" i="1"/>
  <c r="C30" i="1" l="1"/>
</calcChain>
</file>

<file path=xl/sharedStrings.xml><?xml version="1.0" encoding="utf-8"?>
<sst xmlns="http://schemas.openxmlformats.org/spreadsheetml/2006/main" count="323" uniqueCount="119">
  <si>
    <t>IMPOSTE E CONTRIBUTI</t>
  </si>
  <si>
    <t>F24 RIT E CONTR</t>
  </si>
  <si>
    <t>CONSULENTI</t>
  </si>
  <si>
    <t>SOLUZIONE TASSE</t>
  </si>
  <si>
    <t>COLLABORATORI</t>
  </si>
  <si>
    <t>FRANCESCO ZURLO</t>
  </si>
  <si>
    <t>ROSA CUSTODERO</t>
  </si>
  <si>
    <t>VITANIA RUBINO</t>
  </si>
  <si>
    <t>MARCO EPIFANI</t>
  </si>
  <si>
    <t>CLAUDIA TURCO</t>
  </si>
  <si>
    <t>RAFFAELE ZIVOLI</t>
  </si>
  <si>
    <t>GIORGIO PASCALI</t>
  </si>
  <si>
    <t xml:space="preserve">CAMILLA </t>
  </si>
  <si>
    <t>DARIO FLORE</t>
  </si>
  <si>
    <t>LEASING</t>
  </si>
  <si>
    <t>COMPUTER ART</t>
  </si>
  <si>
    <t>SPESE MENSILI</t>
  </si>
  <si>
    <t>EASYPARK</t>
  </si>
  <si>
    <t>TOTALE COSTI</t>
  </si>
  <si>
    <t>ROYALTIES - MAGGIO</t>
  </si>
  <si>
    <t>ROYALTIES - GIUGNO</t>
  </si>
  <si>
    <t>COMPENSO AMM - AGOSTO</t>
  </si>
  <si>
    <t>RIMBORSO SPESE - AGOSTO</t>
  </si>
  <si>
    <t>INARCASSA - DARIO FLORE</t>
  </si>
  <si>
    <t>ROYALTIES - LUGLIO</t>
  </si>
  <si>
    <t>F24 - IRES</t>
  </si>
  <si>
    <t>DAVIDE CIRACì</t>
  </si>
  <si>
    <t>SOFTWARE</t>
  </si>
  <si>
    <t>TEAM SYSTEM</t>
  </si>
  <si>
    <t>COMPENSO AMM - SETTEMBRE</t>
  </si>
  <si>
    <t>RIMBORSO SPESE - SETTEMBRE</t>
  </si>
  <si>
    <t>SPESE</t>
  </si>
  <si>
    <t>NDSERVICE SRL</t>
  </si>
  <si>
    <t>SPESE ANTICIPATE</t>
  </si>
  <si>
    <t>DIRITTI DI SEGRETERIA</t>
  </si>
  <si>
    <t>EXTRA</t>
  </si>
  <si>
    <t xml:space="preserve">ILARIA CAVALLO </t>
  </si>
  <si>
    <t>IVA</t>
  </si>
  <si>
    <t>MAFFEI</t>
  </si>
  <si>
    <t>2° acconto Ires</t>
  </si>
  <si>
    <t>ROYALTY - MARCHIO</t>
  </si>
  <si>
    <t>ROYALTY - BLOG</t>
  </si>
  <si>
    <t>INARCASSA/12</t>
  </si>
  <si>
    <t>IMU/12</t>
  </si>
  <si>
    <t>IVA ACCONTO/12</t>
  </si>
  <si>
    <t>RIMBORSO SPESE - OTTOBRE</t>
  </si>
  <si>
    <t>PROVVIGIONE</t>
  </si>
  <si>
    <t>ROBERT CLAASSEN</t>
  </si>
  <si>
    <t>3/36 termina il 08/25</t>
  </si>
  <si>
    <t>3/5 termina il 12/25</t>
  </si>
  <si>
    <t xml:space="preserve"> Dicembre - Flore Dario</t>
  </si>
  <si>
    <t>2° ACCONTO IRES-IRAP</t>
  </si>
  <si>
    <t>RIMBORSO SPESE - NOVEMBRE</t>
  </si>
  <si>
    <t>ACQUISTI</t>
  </si>
  <si>
    <t>4/36 termina il 08/25</t>
  </si>
  <si>
    <t>4/5 termina il 12/25</t>
  </si>
  <si>
    <t>LOGATURA AGENDE</t>
  </si>
  <si>
    <t>ADESIVI OLIERE</t>
  </si>
  <si>
    <t>OLIERE CARELLA</t>
  </si>
  <si>
    <t>PANETTONE</t>
  </si>
  <si>
    <t>PANETTONE NO LATT</t>
  </si>
  <si>
    <t>STAMPA IMEO</t>
  </si>
  <si>
    <t>VARIE</t>
  </si>
  <si>
    <t>COMPENSO AMM - DICEMBRE</t>
  </si>
  <si>
    <t>ROYALTY MARCHIO - NOVEMBRE</t>
  </si>
  <si>
    <t>ROYALTY BLOG - NOVEMBRE</t>
  </si>
  <si>
    <t>COLLABORATORI ESTERNI</t>
  </si>
  <si>
    <t>GIOVANNI PERRINO</t>
  </si>
  <si>
    <t>ALESSIO GIUSEPPE ZURLO</t>
  </si>
  <si>
    <t>RITENUTE DA VERSARE</t>
  </si>
  <si>
    <t xml:space="preserve">RINNOVO PRIME </t>
  </si>
  <si>
    <t>MARKETING</t>
  </si>
  <si>
    <t>SPOSORIZZATE</t>
  </si>
  <si>
    <t>FORMAZIONE</t>
  </si>
  <si>
    <t>OSM</t>
  </si>
  <si>
    <t>ROYALTY MARCHIO - GENNAIO</t>
  </si>
  <si>
    <t>INDENNITA' DI TRASFERTA</t>
  </si>
  <si>
    <t>Q8</t>
  </si>
  <si>
    <t xml:space="preserve">ROYALTY MARCHIO - GENNAIO </t>
  </si>
  <si>
    <t>ROYALTY MARCHIO - FEBBRAIO</t>
  </si>
  <si>
    <t xml:space="preserve">ROYALTY MARCHIO - FEBBRAIO </t>
  </si>
  <si>
    <t>7/36 termina il 08/27</t>
  </si>
  <si>
    <t>2/05 termina il 06/26</t>
  </si>
  <si>
    <t>03/2026 - DARIO FLORE</t>
  </si>
  <si>
    <t>IVA IV TRIMESTRE</t>
  </si>
  <si>
    <t>N2F</t>
  </si>
  <si>
    <t>RIMBORSO SPESE - 12/25-01/26-02/26</t>
  </si>
  <si>
    <t>HARD DISK</t>
  </si>
  <si>
    <t>ANGELA CATAMERO'</t>
  </si>
  <si>
    <t>MINO ARGENTIERO</t>
  </si>
  <si>
    <t>RIMBORSO SPESE - 03/2026</t>
  </si>
  <si>
    <t>F24 RIT E CONTR - BUSTA PAGA</t>
  </si>
  <si>
    <t>QUOTA ORDINI PROF</t>
  </si>
  <si>
    <t>RIMBORSO SPESE - 02/2026</t>
  </si>
  <si>
    <t>INGEGNERI</t>
  </si>
  <si>
    <t>POLIZZA</t>
  </si>
  <si>
    <t>UNIPOL - MERCEDES</t>
  </si>
  <si>
    <t>INDENNITA' DI TRASFERTA - 04/2026</t>
  </si>
  <si>
    <t>RIMBORSO SPESE - 04/2026</t>
  </si>
  <si>
    <t>ROYALTY - MARCHIO - marzo</t>
  </si>
  <si>
    <t>ROYALTY - BLOG - marzo</t>
  </si>
  <si>
    <t>ROYALTY - MARCHIO - aprile</t>
  </si>
  <si>
    <t>ROYALTY - BLOG - aprile</t>
  </si>
  <si>
    <t>10/36 termina il 08/27</t>
  </si>
  <si>
    <t>04/05 termina il 06/26</t>
  </si>
  <si>
    <t>05/2026 - DARIO FLORE</t>
  </si>
  <si>
    <t>INARCASSA</t>
  </si>
  <si>
    <t>06/2026 - DARIO FLORE</t>
  </si>
  <si>
    <t>1° Rata</t>
  </si>
  <si>
    <t>INDENNITA' DI TRASFERTA - 05/2026</t>
  </si>
  <si>
    <t>ROYALTY - MARCHIO - maggio</t>
  </si>
  <si>
    <t>ROYALTY - BLOG - maggio</t>
  </si>
  <si>
    <t>RIMBORSO SPESE - 05/2026</t>
  </si>
  <si>
    <t>11/36 termina il 08/27</t>
  </si>
  <si>
    <t>ROYALTY - MARCHIO - giugno</t>
  </si>
  <si>
    <t>ROYALTY - BLOG - giugno</t>
  </si>
  <si>
    <t>RIMBORSO SPESE - 06/2026</t>
  </si>
  <si>
    <t>12/36 termina il 08/27</t>
  </si>
  <si>
    <t>F24 IRES IRAP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</si>
</sst>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1"/>
      <color rgb="FF222222"/>
      <name val="Arial"/>
      <family val="2"/>
    </font>
    <font>
      <sz val="8"/>
      <name val="Calibri"/>
      <family val="2"/>
      <scheme val="minor"/>
    </font>
    <font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3" fillId="3" borderId="0" xfId="0" applyFont="1" applyFill="1"/>
    <xf numFmtId="0" fontId="4" fillId="0" borderId="0" xfId="0" applyFont="1"/>
    <xf numFmtId="44" fontId="4" fillId="0" borderId="0" xfId="1" applyFont="1"/>
    <xf numFmtId="44" fontId="4" fillId="3" borderId="0" xfId="1" applyFont="1" applyFill="1"/>
    <xf numFmtId="44" fontId="4" fillId="3" borderId="0" xfId="0" applyNumberFormat="1" applyFont="1" applyFill="1"/>
    <xf numFmtId="44" fontId="0" fillId="0" borderId="0" xfId="0" applyNumberFormat="1"/>
    <xf numFmtId="0" fontId="3" fillId="0" borderId="0" xfId="0" applyFont="1"/>
    <xf numFmtId="44" fontId="4" fillId="0" borderId="0" xfId="0" applyNumberFormat="1" applyFont="1"/>
    <xf numFmtId="44" fontId="4" fillId="0" borderId="0" xfId="1" applyFont="1" applyFill="1"/>
    <xf numFmtId="0" fontId="4" fillId="0" borderId="1" xfId="0" applyFont="1" applyBorder="1"/>
    <xf numFmtId="14" fontId="0" fillId="0" borderId="0" xfId="0" applyNumberFormat="1"/>
    <xf numFmtId="0" fontId="4" fillId="0" borderId="3" xfId="0" applyFont="1" applyBorder="1"/>
    <xf numFmtId="4" fontId="5" fillId="0" borderId="0" xfId="0" applyNumberFormat="1" applyFont="1"/>
    <xf numFmtId="44" fontId="7" fillId="0" borderId="0" xfId="1" applyFont="1"/>
    <xf numFmtId="0" fontId="3" fillId="0" borderId="0" xfId="0" applyFont="1" applyFill="1"/>
    <xf numFmtId="44" fontId="4" fillId="0" borderId="0" xfId="0" applyNumberFormat="1" applyFont="1" applyFill="1"/>
    <xf numFmtId="0" fontId="4" fillId="0" borderId="0" xfId="0" applyFont="1" applyFill="1"/>
    <xf numFmtId="17" fontId="2" fillId="0" borderId="0" xfId="0" applyNumberFormat="1" applyFont="1" applyFill="1" applyAlignment="1"/>
    <xf numFmtId="0" fontId="2" fillId="0" borderId="0" xfId="0" applyFont="1" applyFill="1" applyAlignment="1"/>
    <xf numFmtId="17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0"/>
  <sheetViews>
    <sheetView workbookViewId="0">
      <selection activeCell="H32" sqref="H32"/>
    </sheetView>
  </sheetViews>
  <sheetFormatPr defaultRowHeight="15" x14ac:dyDescent="0.25"/>
  <cols>
    <col min="2" max="2" width="26.5703125" bestFit="1" customWidth="1"/>
    <col min="3" max="3" width="11.85546875" bestFit="1" customWidth="1"/>
  </cols>
  <sheetData>
    <row r="1" spans="2:3" x14ac:dyDescent="0.25">
      <c r="B1" s="20">
        <v>45901</v>
      </c>
      <c r="C1" s="21"/>
    </row>
    <row r="2" spans="2:3" x14ac:dyDescent="0.25">
      <c r="B2" s="1" t="s">
        <v>0</v>
      </c>
      <c r="C2" s="5">
        <f>C4+C3</f>
        <v>2177.81</v>
      </c>
    </row>
    <row r="3" spans="2:3" x14ac:dyDescent="0.25">
      <c r="B3" s="2" t="s">
        <v>1</v>
      </c>
      <c r="C3" s="3">
        <v>330.31</v>
      </c>
    </row>
    <row r="4" spans="2:3" x14ac:dyDescent="0.25">
      <c r="B4" s="2" t="s">
        <v>23</v>
      </c>
      <c r="C4" s="3">
        <v>1847.5</v>
      </c>
    </row>
    <row r="5" spans="2:3" x14ac:dyDescent="0.25">
      <c r="B5" s="2" t="s">
        <v>25</v>
      </c>
      <c r="C5" s="3">
        <v>12858.61</v>
      </c>
    </row>
    <row r="6" spans="2:3" x14ac:dyDescent="0.25">
      <c r="B6" s="1" t="s">
        <v>2</v>
      </c>
      <c r="C6" s="5">
        <f>C7</f>
        <v>445.91300000000001</v>
      </c>
    </row>
    <row r="7" spans="2:3" x14ac:dyDescent="0.25">
      <c r="B7" s="2" t="s">
        <v>3</v>
      </c>
      <c r="C7" s="3">
        <v>445.91300000000001</v>
      </c>
    </row>
    <row r="8" spans="2:3" x14ac:dyDescent="0.25">
      <c r="B8" s="2" t="s">
        <v>3</v>
      </c>
      <c r="C8" s="3">
        <v>445.91</v>
      </c>
    </row>
    <row r="9" spans="2:3" x14ac:dyDescent="0.25">
      <c r="B9" s="2" t="s">
        <v>3</v>
      </c>
      <c r="C9" s="3">
        <v>129.4</v>
      </c>
    </row>
    <row r="10" spans="2:3" x14ac:dyDescent="0.25">
      <c r="B10" s="1" t="s">
        <v>4</v>
      </c>
      <c r="C10" s="5">
        <f>C11+C12+C13+C14+C15+C16+C17+C18</f>
        <v>14495</v>
      </c>
    </row>
    <row r="11" spans="2:3" x14ac:dyDescent="0.25">
      <c r="B11" s="2" t="s">
        <v>5</v>
      </c>
      <c r="C11" s="3">
        <v>1295</v>
      </c>
    </row>
    <row r="12" spans="2:3" x14ac:dyDescent="0.25">
      <c r="B12" s="2" t="s">
        <v>6</v>
      </c>
      <c r="C12" s="3">
        <v>1200</v>
      </c>
    </row>
    <row r="13" spans="2:3" x14ac:dyDescent="0.25">
      <c r="B13" s="2" t="s">
        <v>7</v>
      </c>
      <c r="C13" s="3">
        <v>2000</v>
      </c>
    </row>
    <row r="14" spans="2:3" x14ac:dyDescent="0.25">
      <c r="B14" s="2" t="s">
        <v>8</v>
      </c>
      <c r="C14" s="3">
        <v>2000</v>
      </c>
    </row>
    <row r="15" spans="2:3" x14ac:dyDescent="0.25">
      <c r="B15" s="2" t="s">
        <v>9</v>
      </c>
      <c r="C15" s="3">
        <v>2000</v>
      </c>
    </row>
    <row r="16" spans="2:3" x14ac:dyDescent="0.25">
      <c r="B16" s="2" t="s">
        <v>10</v>
      </c>
      <c r="C16" s="3">
        <v>2000</v>
      </c>
    </row>
    <row r="17" spans="2:3" x14ac:dyDescent="0.25">
      <c r="B17" s="2" t="s">
        <v>11</v>
      </c>
      <c r="C17" s="3">
        <v>2000</v>
      </c>
    </row>
    <row r="18" spans="2:3" x14ac:dyDescent="0.25">
      <c r="B18" s="2" t="s">
        <v>12</v>
      </c>
      <c r="C18" s="3">
        <v>2000</v>
      </c>
    </row>
    <row r="19" spans="2:3" x14ac:dyDescent="0.25">
      <c r="B19" s="2" t="s">
        <v>26</v>
      </c>
      <c r="C19" s="3"/>
    </row>
    <row r="20" spans="2:3" x14ac:dyDescent="0.25">
      <c r="B20" s="1" t="s">
        <v>13</v>
      </c>
      <c r="C20" s="5">
        <f>C21+C23+C25+C24</f>
        <v>7103.1399999999994</v>
      </c>
    </row>
    <row r="21" spans="2:3" x14ac:dyDescent="0.25">
      <c r="B21" s="2" t="s">
        <v>21</v>
      </c>
      <c r="C21" s="3">
        <v>750</v>
      </c>
    </row>
    <row r="22" spans="2:3" x14ac:dyDescent="0.25">
      <c r="B22" s="2" t="s">
        <v>19</v>
      </c>
      <c r="C22" s="3">
        <f>2114.83+2923.42</f>
        <v>5038.25</v>
      </c>
    </row>
    <row r="23" spans="2:3" x14ac:dyDescent="0.25">
      <c r="B23" s="2" t="s">
        <v>20</v>
      </c>
      <c r="C23" s="3">
        <f>2247+3106.14</f>
        <v>5353.1399999999994</v>
      </c>
    </row>
    <row r="24" spans="2:3" x14ac:dyDescent="0.25">
      <c r="B24" s="2" t="s">
        <v>24</v>
      </c>
      <c r="C24" s="3"/>
    </row>
    <row r="25" spans="2:3" x14ac:dyDescent="0.25">
      <c r="B25" s="2" t="s">
        <v>22</v>
      </c>
      <c r="C25" s="3">
        <v>1000</v>
      </c>
    </row>
    <row r="26" spans="2:3" x14ac:dyDescent="0.25">
      <c r="B26" s="1" t="s">
        <v>14</v>
      </c>
      <c r="C26" s="5">
        <f>C27</f>
        <v>370</v>
      </c>
    </row>
    <row r="27" spans="2:3" x14ac:dyDescent="0.25">
      <c r="B27" s="2" t="s">
        <v>15</v>
      </c>
      <c r="C27" s="3">
        <v>370</v>
      </c>
    </row>
    <row r="28" spans="2:3" x14ac:dyDescent="0.25">
      <c r="B28" s="1" t="s">
        <v>16</v>
      </c>
      <c r="C28" s="5">
        <f>C29</f>
        <v>40</v>
      </c>
    </row>
    <row r="29" spans="2:3" x14ac:dyDescent="0.25">
      <c r="B29" s="2" t="s">
        <v>17</v>
      </c>
      <c r="C29" s="3">
        <v>40</v>
      </c>
    </row>
    <row r="30" spans="2:3" x14ac:dyDescent="0.25">
      <c r="B30" s="1" t="s">
        <v>18</v>
      </c>
      <c r="C30" s="4">
        <f>C28+C26+C20+C10+C6+C2</f>
        <v>24631.863000000001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005D-7F83-4D8A-9143-BBD91295B7F6}">
  <dimension ref="A1:I119"/>
  <sheetViews>
    <sheetView topLeftCell="A73" workbookViewId="0">
      <selection activeCell="B119" sqref="B73:D119"/>
    </sheetView>
  </sheetViews>
  <sheetFormatPr defaultRowHeight="15" x14ac:dyDescent="0.25"/>
  <cols>
    <col min="2" max="2" width="30.42578125" bestFit="1" customWidth="1"/>
    <col min="3" max="3" width="11.85546875" bestFit="1" customWidth="1"/>
    <col min="4" max="4" width="19.42578125" bestFit="1" customWidth="1"/>
    <col min="7" max="7" width="10.7109375" bestFit="1" customWidth="1"/>
    <col min="8" max="8" width="22" bestFit="1" customWidth="1"/>
    <col min="9" max="9" width="11.85546875" bestFit="1" customWidth="1"/>
  </cols>
  <sheetData>
    <row r="1" spans="2:3" x14ac:dyDescent="0.25">
      <c r="B1" s="20">
        <v>45931</v>
      </c>
      <c r="C1" s="21"/>
    </row>
    <row r="2" spans="2:3" x14ac:dyDescent="0.25">
      <c r="B2" s="1" t="s">
        <v>0</v>
      </c>
      <c r="C2" s="5">
        <f>C3</f>
        <v>347.41</v>
      </c>
    </row>
    <row r="3" spans="2:3" x14ac:dyDescent="0.25">
      <c r="B3" s="2" t="s">
        <v>1</v>
      </c>
      <c r="C3" s="3">
        <v>347.41</v>
      </c>
    </row>
    <row r="4" spans="2:3" x14ac:dyDescent="0.25">
      <c r="B4" s="1" t="s">
        <v>2</v>
      </c>
      <c r="C4" s="5">
        <f>C5</f>
        <v>445.91</v>
      </c>
    </row>
    <row r="5" spans="2:3" x14ac:dyDescent="0.25">
      <c r="B5" s="2" t="s">
        <v>3</v>
      </c>
      <c r="C5" s="3">
        <v>445.91</v>
      </c>
    </row>
    <row r="6" spans="2:3" x14ac:dyDescent="0.25">
      <c r="B6" s="2" t="s">
        <v>3</v>
      </c>
      <c r="C6" s="3">
        <v>244</v>
      </c>
    </row>
    <row r="7" spans="2:3" x14ac:dyDescent="0.25">
      <c r="B7" s="1" t="s">
        <v>4</v>
      </c>
      <c r="C7" s="5">
        <f>C8+C9+C10+C11+C12+C13+C14+C15</f>
        <v>14290</v>
      </c>
    </row>
    <row r="8" spans="2:3" x14ac:dyDescent="0.25">
      <c r="B8" s="2" t="s">
        <v>5</v>
      </c>
      <c r="C8" s="3">
        <v>1290</v>
      </c>
    </row>
    <row r="9" spans="2:3" x14ac:dyDescent="0.25">
      <c r="B9" s="2" t="s">
        <v>6</v>
      </c>
      <c r="C9" s="3">
        <v>1200</v>
      </c>
    </row>
    <row r="10" spans="2:3" x14ac:dyDescent="0.25">
      <c r="B10" s="2" t="s">
        <v>7</v>
      </c>
      <c r="C10" s="3">
        <v>2000</v>
      </c>
    </row>
    <row r="11" spans="2:3" x14ac:dyDescent="0.25">
      <c r="B11" s="2" t="s">
        <v>8</v>
      </c>
      <c r="C11" s="3">
        <v>2000</v>
      </c>
    </row>
    <row r="12" spans="2:3" x14ac:dyDescent="0.25">
      <c r="B12" s="2" t="s">
        <v>9</v>
      </c>
      <c r="C12" s="3">
        <v>2000</v>
      </c>
    </row>
    <row r="13" spans="2:3" x14ac:dyDescent="0.25">
      <c r="B13" s="2" t="s">
        <v>10</v>
      </c>
      <c r="C13" s="3">
        <v>2000</v>
      </c>
    </row>
    <row r="14" spans="2:3" x14ac:dyDescent="0.25">
      <c r="B14" s="2" t="s">
        <v>11</v>
      </c>
      <c r="C14" s="3">
        <v>1800</v>
      </c>
    </row>
    <row r="15" spans="2:3" x14ac:dyDescent="0.25">
      <c r="B15" s="2" t="s">
        <v>12</v>
      </c>
      <c r="C15" s="3">
        <v>2000</v>
      </c>
    </row>
    <row r="16" spans="2:3" x14ac:dyDescent="0.25">
      <c r="B16" s="2" t="s">
        <v>26</v>
      </c>
      <c r="C16" s="3">
        <v>1200</v>
      </c>
    </row>
    <row r="17" spans="2:3" x14ac:dyDescent="0.25">
      <c r="B17" s="1" t="s">
        <v>13</v>
      </c>
      <c r="C17" s="5">
        <f>C18+C19</f>
        <v>1750</v>
      </c>
    </row>
    <row r="18" spans="2:3" x14ac:dyDescent="0.25">
      <c r="B18" s="2" t="s">
        <v>29</v>
      </c>
      <c r="C18" s="3">
        <v>750</v>
      </c>
    </row>
    <row r="19" spans="2:3" x14ac:dyDescent="0.25">
      <c r="B19" s="2" t="s">
        <v>30</v>
      </c>
      <c r="C19" s="3">
        <v>1000</v>
      </c>
    </row>
    <row r="20" spans="2:3" x14ac:dyDescent="0.25">
      <c r="B20" s="1" t="s">
        <v>14</v>
      </c>
      <c r="C20" s="5">
        <f>C21</f>
        <v>450.88</v>
      </c>
    </row>
    <row r="21" spans="2:3" x14ac:dyDescent="0.25">
      <c r="B21" s="2" t="s">
        <v>15</v>
      </c>
      <c r="C21" s="3">
        <v>450.88</v>
      </c>
    </row>
    <row r="22" spans="2:3" x14ac:dyDescent="0.25">
      <c r="B22" s="1" t="s">
        <v>27</v>
      </c>
      <c r="C22" s="5">
        <f>C23</f>
        <v>440.14</v>
      </c>
    </row>
    <row r="23" spans="2:3" x14ac:dyDescent="0.25">
      <c r="B23" s="2" t="s">
        <v>28</v>
      </c>
      <c r="C23" s="3">
        <v>440.14</v>
      </c>
    </row>
    <row r="24" spans="2:3" x14ac:dyDescent="0.25">
      <c r="B24" s="1" t="s">
        <v>16</v>
      </c>
      <c r="C24" s="5">
        <f>C25</f>
        <v>40</v>
      </c>
    </row>
    <row r="25" spans="2:3" x14ac:dyDescent="0.25">
      <c r="B25" s="2" t="s">
        <v>17</v>
      </c>
      <c r="C25" s="3">
        <v>40</v>
      </c>
    </row>
    <row r="26" spans="2:3" x14ac:dyDescent="0.25">
      <c r="B26" s="1" t="s">
        <v>31</v>
      </c>
      <c r="C26" s="5">
        <f>C27</f>
        <v>366</v>
      </c>
    </row>
    <row r="27" spans="2:3" x14ac:dyDescent="0.25">
      <c r="B27" s="2" t="s">
        <v>32</v>
      </c>
      <c r="C27" s="3">
        <v>366</v>
      </c>
    </row>
    <row r="28" spans="2:3" x14ac:dyDescent="0.25">
      <c r="B28" s="1" t="s">
        <v>33</v>
      </c>
      <c r="C28" s="5">
        <f>C29</f>
        <v>700</v>
      </c>
    </row>
    <row r="29" spans="2:3" x14ac:dyDescent="0.25">
      <c r="B29" s="2" t="s">
        <v>34</v>
      </c>
      <c r="C29" s="3">
        <v>700</v>
      </c>
    </row>
    <row r="30" spans="2:3" x14ac:dyDescent="0.25">
      <c r="B30" s="1" t="s">
        <v>35</v>
      </c>
      <c r="C30" s="5">
        <f>C31</f>
        <v>2609.8000000000002</v>
      </c>
    </row>
    <row r="31" spans="2:3" x14ac:dyDescent="0.25">
      <c r="B31" s="2" t="s">
        <v>35</v>
      </c>
      <c r="C31" s="3">
        <v>2609.8000000000002</v>
      </c>
    </row>
    <row r="32" spans="2:3" x14ac:dyDescent="0.25">
      <c r="B32" s="1" t="s">
        <v>18</v>
      </c>
      <c r="C32" s="4">
        <f>C24+C20+C17+C7+C4+C2+C28+C26+C30</f>
        <v>21000</v>
      </c>
    </row>
    <row r="33" spans="2:9" x14ac:dyDescent="0.25">
      <c r="C33" s="6"/>
    </row>
    <row r="35" spans="2:9" x14ac:dyDescent="0.25">
      <c r="B35" s="20">
        <v>45962</v>
      </c>
      <c r="C35" s="21"/>
    </row>
    <row r="36" spans="2:9" x14ac:dyDescent="0.25">
      <c r="B36" s="1" t="s">
        <v>0</v>
      </c>
      <c r="C36" s="5">
        <f>C37+C38+C39</f>
        <v>46698.31</v>
      </c>
    </row>
    <row r="37" spans="2:9" x14ac:dyDescent="0.25">
      <c r="B37" s="2" t="s">
        <v>1</v>
      </c>
      <c r="C37" s="3">
        <v>338.47</v>
      </c>
    </row>
    <row r="38" spans="2:9" x14ac:dyDescent="0.25">
      <c r="B38" s="2" t="s">
        <v>37</v>
      </c>
      <c r="C38" s="3">
        <v>29357.84</v>
      </c>
    </row>
    <row r="39" spans="2:9" x14ac:dyDescent="0.25">
      <c r="B39" s="2" t="s">
        <v>39</v>
      </c>
      <c r="C39" s="3">
        <v>17002</v>
      </c>
    </row>
    <row r="40" spans="2:9" x14ac:dyDescent="0.25">
      <c r="B40" s="1" t="s">
        <v>2</v>
      </c>
      <c r="C40" s="5">
        <f>C41+C42+C43</f>
        <v>927.18000000000006</v>
      </c>
    </row>
    <row r="41" spans="2:9" x14ac:dyDescent="0.25">
      <c r="B41" s="2" t="s">
        <v>3</v>
      </c>
      <c r="C41" s="3">
        <v>445.91</v>
      </c>
      <c r="H41" s="2"/>
      <c r="I41" s="9"/>
    </row>
    <row r="42" spans="2:9" x14ac:dyDescent="0.25">
      <c r="B42" s="2" t="s">
        <v>3</v>
      </c>
      <c r="C42" s="3">
        <v>244</v>
      </c>
      <c r="H42" s="2"/>
      <c r="I42" s="9"/>
    </row>
    <row r="43" spans="2:9" x14ac:dyDescent="0.25">
      <c r="B43" s="2" t="s">
        <v>38</v>
      </c>
      <c r="C43" s="3">
        <v>237.27</v>
      </c>
      <c r="H43" s="2"/>
      <c r="I43" s="9"/>
    </row>
    <row r="44" spans="2:9" x14ac:dyDescent="0.25">
      <c r="B44" s="1" t="s">
        <v>4</v>
      </c>
      <c r="C44" s="5">
        <f>C45+C46+C47+C48+C49+C50+C51+C52+C53</f>
        <v>15350</v>
      </c>
      <c r="H44" s="7"/>
      <c r="I44" s="8"/>
    </row>
    <row r="45" spans="2:9" x14ac:dyDescent="0.25">
      <c r="B45" s="2" t="s">
        <v>5</v>
      </c>
      <c r="C45" s="3">
        <v>1300</v>
      </c>
      <c r="H45" s="2"/>
      <c r="I45" s="9"/>
    </row>
    <row r="46" spans="2:9" x14ac:dyDescent="0.25">
      <c r="B46" s="2" t="s">
        <v>6</v>
      </c>
      <c r="C46" s="3">
        <v>1200</v>
      </c>
      <c r="H46" s="2"/>
      <c r="I46" s="9"/>
    </row>
    <row r="47" spans="2:9" x14ac:dyDescent="0.25">
      <c r="B47" s="2" t="s">
        <v>36</v>
      </c>
      <c r="C47" s="3">
        <v>2000</v>
      </c>
      <c r="H47" s="2"/>
      <c r="I47" s="9"/>
    </row>
    <row r="48" spans="2:9" x14ac:dyDescent="0.25">
      <c r="B48" s="2" t="s">
        <v>8</v>
      </c>
      <c r="C48" s="3">
        <v>2000</v>
      </c>
      <c r="H48" s="2"/>
      <c r="I48" s="9"/>
    </row>
    <row r="49" spans="2:9" x14ac:dyDescent="0.25">
      <c r="B49" s="2" t="s">
        <v>9</v>
      </c>
      <c r="C49" s="3">
        <v>2000</v>
      </c>
      <c r="H49" s="2"/>
      <c r="I49" s="9"/>
    </row>
    <row r="50" spans="2:9" x14ac:dyDescent="0.25">
      <c r="B50" s="2" t="s">
        <v>10</v>
      </c>
      <c r="C50" s="3">
        <v>2000</v>
      </c>
      <c r="H50" s="2"/>
      <c r="I50" s="9"/>
    </row>
    <row r="51" spans="2:9" x14ac:dyDescent="0.25">
      <c r="B51" s="2" t="s">
        <v>11</v>
      </c>
      <c r="C51" s="3">
        <v>1850</v>
      </c>
      <c r="H51" s="2"/>
      <c r="I51" s="9"/>
    </row>
    <row r="52" spans="2:9" x14ac:dyDescent="0.25">
      <c r="B52" s="2" t="s">
        <v>12</v>
      </c>
      <c r="C52" s="3">
        <v>1400</v>
      </c>
      <c r="H52" s="2"/>
      <c r="I52" s="9"/>
    </row>
    <row r="53" spans="2:9" x14ac:dyDescent="0.25">
      <c r="B53" s="2" t="s">
        <v>26</v>
      </c>
      <c r="C53" s="3">
        <v>1600</v>
      </c>
      <c r="H53" s="2"/>
      <c r="I53" s="9"/>
    </row>
    <row r="54" spans="2:9" x14ac:dyDescent="0.25">
      <c r="B54" s="1" t="s">
        <v>13</v>
      </c>
      <c r="C54" s="5">
        <f>C55+C56+C58+C59</f>
        <v>19637.669999999998</v>
      </c>
    </row>
    <row r="55" spans="2:9" x14ac:dyDescent="0.25">
      <c r="B55" s="2" t="s">
        <v>29</v>
      </c>
      <c r="C55" s="3">
        <v>750</v>
      </c>
    </row>
    <row r="56" spans="2:9" x14ac:dyDescent="0.25">
      <c r="B56" s="2" t="s">
        <v>30</v>
      </c>
      <c r="C56" s="3">
        <v>1143.26</v>
      </c>
    </row>
    <row r="57" spans="2:9" x14ac:dyDescent="0.25">
      <c r="B57" s="2" t="s">
        <v>45</v>
      </c>
      <c r="C57" s="3">
        <v>1000</v>
      </c>
    </row>
    <row r="58" spans="2:9" x14ac:dyDescent="0.25">
      <c r="B58" s="2" t="s">
        <v>40</v>
      </c>
      <c r="C58" s="3">
        <v>8603.35</v>
      </c>
    </row>
    <row r="59" spans="2:9" x14ac:dyDescent="0.25">
      <c r="B59" s="2" t="s">
        <v>41</v>
      </c>
      <c r="C59" s="3">
        <v>9141.06</v>
      </c>
    </row>
    <row r="60" spans="2:9" x14ac:dyDescent="0.25">
      <c r="B60" s="1" t="s">
        <v>14</v>
      </c>
      <c r="C60" s="5">
        <f>C61</f>
        <v>450.88</v>
      </c>
    </row>
    <row r="61" spans="2:9" x14ac:dyDescent="0.25">
      <c r="B61" s="2" t="s">
        <v>15</v>
      </c>
      <c r="C61" s="3">
        <v>450.88</v>
      </c>
      <c r="D61" s="10" t="s">
        <v>48</v>
      </c>
    </row>
    <row r="62" spans="2:9" x14ac:dyDescent="0.25">
      <c r="B62" s="1" t="s">
        <v>27</v>
      </c>
      <c r="C62" s="5">
        <f>C63</f>
        <v>440.14</v>
      </c>
      <c r="D62" s="2"/>
    </row>
    <row r="63" spans="2:9" x14ac:dyDescent="0.25">
      <c r="B63" s="2" t="s">
        <v>28</v>
      </c>
      <c r="C63" s="3">
        <v>440.14</v>
      </c>
      <c r="D63" s="10" t="s">
        <v>49</v>
      </c>
    </row>
    <row r="64" spans="2:9" x14ac:dyDescent="0.25">
      <c r="B64" s="1" t="s">
        <v>16</v>
      </c>
      <c r="C64" s="5">
        <f>C65</f>
        <v>40</v>
      </c>
    </row>
    <row r="65" spans="1:9" x14ac:dyDescent="0.25">
      <c r="B65" s="2" t="s">
        <v>17</v>
      </c>
      <c r="C65" s="3">
        <v>40</v>
      </c>
    </row>
    <row r="66" spans="1:9" x14ac:dyDescent="0.25">
      <c r="B66" s="1" t="s">
        <v>46</v>
      </c>
      <c r="C66" s="5">
        <f>C67</f>
        <v>3000</v>
      </c>
    </row>
    <row r="67" spans="1:9" x14ac:dyDescent="0.25">
      <c r="B67" s="2" t="s">
        <v>47</v>
      </c>
      <c r="C67" s="3">
        <v>3000</v>
      </c>
    </row>
    <row r="68" spans="1:9" x14ac:dyDescent="0.25">
      <c r="B68" s="1" t="s">
        <v>33</v>
      </c>
      <c r="C68" s="5">
        <f>C69</f>
        <v>700</v>
      </c>
    </row>
    <row r="69" spans="1:9" x14ac:dyDescent="0.25">
      <c r="B69" s="2" t="s">
        <v>34</v>
      </c>
      <c r="C69" s="3">
        <v>700</v>
      </c>
    </row>
    <row r="70" spans="1:9" x14ac:dyDescent="0.25">
      <c r="B70" s="1" t="s">
        <v>18</v>
      </c>
      <c r="C70" s="4">
        <f>C64+C60+C54+C44+C40+C36+C68+C66</f>
        <v>86804.040000000008</v>
      </c>
    </row>
    <row r="73" spans="1:9" x14ac:dyDescent="0.25">
      <c r="B73" s="20">
        <v>45992</v>
      </c>
      <c r="C73" s="21"/>
      <c r="D73" s="23"/>
      <c r="H73" s="20" t="s">
        <v>50</v>
      </c>
      <c r="I73" s="21"/>
    </row>
    <row r="74" spans="1:9" x14ac:dyDescent="0.25">
      <c r="B74" s="1" t="s">
        <v>0</v>
      </c>
      <c r="C74" s="5">
        <f>C75+C76+C77+C78</f>
        <v>51140.06</v>
      </c>
      <c r="D74" s="23"/>
      <c r="H74" s="1" t="s">
        <v>0</v>
      </c>
      <c r="I74" s="5">
        <f>I75+I76+I77</f>
        <v>31259</v>
      </c>
    </row>
    <row r="75" spans="1:9" x14ac:dyDescent="0.25">
      <c r="A75">
        <v>16</v>
      </c>
      <c r="B75" s="2" t="s">
        <v>1</v>
      </c>
      <c r="C75" s="3">
        <v>370.09</v>
      </c>
      <c r="D75" s="23"/>
      <c r="G75" s="11">
        <v>46022</v>
      </c>
      <c r="H75" s="2" t="s">
        <v>42</v>
      </c>
      <c r="I75" s="8">
        <v>28500</v>
      </c>
    </row>
    <row r="76" spans="1:9" x14ac:dyDescent="0.25">
      <c r="A76">
        <v>27</v>
      </c>
      <c r="B76" s="2" t="s">
        <v>44</v>
      </c>
      <c r="C76" s="3">
        <v>30000</v>
      </c>
      <c r="D76" s="23"/>
      <c r="G76" s="11">
        <v>46007</v>
      </c>
      <c r="H76" s="2" t="s">
        <v>43</v>
      </c>
      <c r="I76" s="3">
        <v>259</v>
      </c>
    </row>
    <row r="77" spans="1:9" x14ac:dyDescent="0.25">
      <c r="A77">
        <v>1</v>
      </c>
      <c r="B77" s="2" t="s">
        <v>51</v>
      </c>
      <c r="C77" s="3">
        <v>17002</v>
      </c>
      <c r="D77" s="23"/>
      <c r="G77" s="11">
        <v>46020</v>
      </c>
      <c r="H77" s="2" t="s">
        <v>44</v>
      </c>
      <c r="I77" s="3">
        <v>2500</v>
      </c>
    </row>
    <row r="78" spans="1:9" x14ac:dyDescent="0.25">
      <c r="B78" s="2" t="s">
        <v>69</v>
      </c>
      <c r="C78" s="3">
        <f>1613.13+2154.84</f>
        <v>3767.9700000000003</v>
      </c>
      <c r="D78" s="23"/>
      <c r="G78" s="11"/>
      <c r="H78" s="2"/>
      <c r="I78" s="3"/>
    </row>
    <row r="79" spans="1:9" x14ac:dyDescent="0.25">
      <c r="B79" s="1" t="s">
        <v>2</v>
      </c>
      <c r="C79" s="5">
        <f>C80+C81</f>
        <v>689.91000000000008</v>
      </c>
      <c r="D79" s="23"/>
    </row>
    <row r="80" spans="1:9" x14ac:dyDescent="0.25">
      <c r="B80" s="2" t="s">
        <v>3</v>
      </c>
      <c r="C80" s="3">
        <v>445.91</v>
      </c>
      <c r="D80" s="23"/>
    </row>
    <row r="81" spans="2:4" x14ac:dyDescent="0.25">
      <c r="B81" s="2" t="s">
        <v>3</v>
      </c>
      <c r="C81" s="3">
        <v>244</v>
      </c>
      <c r="D81" s="23"/>
    </row>
    <row r="82" spans="2:4" x14ac:dyDescent="0.25">
      <c r="B82" s="1" t="s">
        <v>4</v>
      </c>
      <c r="C82" s="5">
        <f>C83+C84+C85+C86+C87+C88+C89+C90+C91</f>
        <v>16199</v>
      </c>
      <c r="D82" s="23"/>
    </row>
    <row r="83" spans="2:4" x14ac:dyDescent="0.25">
      <c r="B83" s="2" t="s">
        <v>5</v>
      </c>
      <c r="C83" s="3">
        <v>1349</v>
      </c>
      <c r="D83" s="23"/>
    </row>
    <row r="84" spans="2:4" x14ac:dyDescent="0.25">
      <c r="B84" s="2" t="s">
        <v>6</v>
      </c>
      <c r="C84" s="3">
        <v>1200</v>
      </c>
      <c r="D84" s="23"/>
    </row>
    <row r="85" spans="2:4" x14ac:dyDescent="0.25">
      <c r="B85" s="2" t="s">
        <v>36</v>
      </c>
      <c r="C85" s="3">
        <v>2200</v>
      </c>
      <c r="D85" s="23"/>
    </row>
    <row r="86" spans="2:4" x14ac:dyDescent="0.25">
      <c r="B86" s="2" t="s">
        <v>8</v>
      </c>
      <c r="C86" s="3">
        <v>2200</v>
      </c>
      <c r="D86" s="23"/>
    </row>
    <row r="87" spans="2:4" x14ac:dyDescent="0.25">
      <c r="B87" s="2" t="s">
        <v>9</v>
      </c>
      <c r="C87" s="3">
        <v>2200</v>
      </c>
      <c r="D87" s="23"/>
    </row>
    <row r="88" spans="2:4" x14ac:dyDescent="0.25">
      <c r="B88" s="2" t="s">
        <v>10</v>
      </c>
      <c r="C88" s="3">
        <v>2200</v>
      </c>
      <c r="D88" s="23"/>
    </row>
    <row r="89" spans="2:4" x14ac:dyDescent="0.25">
      <c r="B89" s="2" t="s">
        <v>11</v>
      </c>
      <c r="C89" s="3">
        <v>1850</v>
      </c>
      <c r="D89" s="23"/>
    </row>
    <row r="90" spans="2:4" x14ac:dyDescent="0.25">
      <c r="B90" s="2" t="s">
        <v>12</v>
      </c>
      <c r="C90" s="3">
        <v>1400</v>
      </c>
      <c r="D90" s="23"/>
    </row>
    <row r="91" spans="2:4" x14ac:dyDescent="0.25">
      <c r="B91" s="2" t="s">
        <v>26</v>
      </c>
      <c r="C91" s="3">
        <v>1600</v>
      </c>
      <c r="D91" s="23"/>
    </row>
    <row r="92" spans="2:4" x14ac:dyDescent="0.25">
      <c r="B92" s="1" t="s">
        <v>66</v>
      </c>
      <c r="C92" s="5">
        <f>C93+C94</f>
        <v>1907.85</v>
      </c>
      <c r="D92" s="23"/>
    </row>
    <row r="93" spans="2:4" x14ac:dyDescent="0.25">
      <c r="B93" s="2" t="s">
        <v>67</v>
      </c>
      <c r="C93" s="3">
        <v>983.85</v>
      </c>
      <c r="D93" s="23"/>
    </row>
    <row r="94" spans="2:4" x14ac:dyDescent="0.25">
      <c r="B94" s="2" t="s">
        <v>68</v>
      </c>
      <c r="C94" s="3">
        <v>924</v>
      </c>
      <c r="D94" s="23"/>
    </row>
    <row r="95" spans="2:4" x14ac:dyDescent="0.25">
      <c r="B95" s="1" t="s">
        <v>13</v>
      </c>
      <c r="C95" s="5">
        <f>C96+C97+C98+C99</f>
        <v>5013.3099999999995</v>
      </c>
      <c r="D95" s="23"/>
    </row>
    <row r="96" spans="2:4" x14ac:dyDescent="0.25">
      <c r="B96" s="2" t="s">
        <v>63</v>
      </c>
      <c r="C96" s="3">
        <v>750</v>
      </c>
      <c r="D96" s="23"/>
    </row>
    <row r="97" spans="2:4" x14ac:dyDescent="0.25">
      <c r="B97" s="2" t="s">
        <v>52</v>
      </c>
      <c r="C97" s="3">
        <v>955.08</v>
      </c>
      <c r="D97" s="23"/>
    </row>
    <row r="98" spans="2:4" x14ac:dyDescent="0.25">
      <c r="B98" s="2" t="s">
        <v>64</v>
      </c>
      <c r="C98" s="3">
        <v>1603.99</v>
      </c>
      <c r="D98" s="23"/>
    </row>
    <row r="99" spans="2:4" x14ac:dyDescent="0.25">
      <c r="B99" s="2" t="s">
        <v>65</v>
      </c>
      <c r="C99" s="3">
        <v>1704.24</v>
      </c>
      <c r="D99" s="23"/>
    </row>
    <row r="100" spans="2:4" x14ac:dyDescent="0.25">
      <c r="B100" s="1" t="s">
        <v>14</v>
      </c>
      <c r="C100" s="5">
        <f>C101</f>
        <v>450.88</v>
      </c>
      <c r="D100" s="24"/>
    </row>
    <row r="101" spans="2:4" x14ac:dyDescent="0.25">
      <c r="B101" s="2" t="s">
        <v>15</v>
      </c>
      <c r="C101" s="3">
        <v>450.88</v>
      </c>
      <c r="D101" s="10" t="s">
        <v>54</v>
      </c>
    </row>
    <row r="102" spans="2:4" x14ac:dyDescent="0.25">
      <c r="B102" s="1" t="s">
        <v>27</v>
      </c>
      <c r="C102" s="5">
        <f>C103</f>
        <v>460.14</v>
      </c>
      <c r="D102" s="2"/>
    </row>
    <row r="103" spans="2:4" x14ac:dyDescent="0.25">
      <c r="B103" s="2" t="s">
        <v>28</v>
      </c>
      <c r="C103" s="3">
        <v>460.14</v>
      </c>
      <c r="D103" s="10" t="s">
        <v>55</v>
      </c>
    </row>
    <row r="104" spans="2:4" x14ac:dyDescent="0.25">
      <c r="B104" s="1" t="s">
        <v>16</v>
      </c>
      <c r="C104" s="5">
        <f>C105</f>
        <v>40</v>
      </c>
      <c r="D104" s="22"/>
    </row>
    <row r="105" spans="2:4" x14ac:dyDescent="0.25">
      <c r="B105" s="2" t="s">
        <v>17</v>
      </c>
      <c r="C105" s="3">
        <v>40</v>
      </c>
      <c r="D105" s="23"/>
    </row>
    <row r="106" spans="2:4" x14ac:dyDescent="0.25">
      <c r="B106" s="1" t="s">
        <v>46</v>
      </c>
      <c r="C106" s="5">
        <f>C107</f>
        <v>3000</v>
      </c>
      <c r="D106" s="23"/>
    </row>
    <row r="107" spans="2:4" x14ac:dyDescent="0.25">
      <c r="B107" s="2" t="s">
        <v>47</v>
      </c>
      <c r="C107" s="3">
        <v>3000</v>
      </c>
      <c r="D107" s="23"/>
    </row>
    <row r="108" spans="2:4" x14ac:dyDescent="0.25">
      <c r="B108" s="1" t="s">
        <v>33</v>
      </c>
      <c r="C108" s="5">
        <f>C109</f>
        <v>700</v>
      </c>
      <c r="D108" s="23"/>
    </row>
    <row r="109" spans="2:4" x14ac:dyDescent="0.25">
      <c r="B109" s="2" t="s">
        <v>34</v>
      </c>
      <c r="C109" s="3">
        <v>700</v>
      </c>
      <c r="D109" s="23"/>
    </row>
    <row r="110" spans="2:4" x14ac:dyDescent="0.25">
      <c r="B110" s="1" t="s">
        <v>53</v>
      </c>
      <c r="C110" s="5">
        <f>C113+C111+C112+C115+C114+C116+C118+C117</f>
        <v>2393.5</v>
      </c>
      <c r="D110" s="23"/>
    </row>
    <row r="111" spans="2:4" x14ac:dyDescent="0.25">
      <c r="B111" s="2" t="s">
        <v>58</v>
      </c>
      <c r="C111" s="8">
        <v>604</v>
      </c>
      <c r="D111" s="23"/>
    </row>
    <row r="112" spans="2:4" x14ac:dyDescent="0.25">
      <c r="B112" s="2" t="s">
        <v>56</v>
      </c>
      <c r="C112" s="8">
        <f>13*3</f>
        <v>39</v>
      </c>
      <c r="D112" s="23"/>
    </row>
    <row r="113" spans="2:4" x14ac:dyDescent="0.25">
      <c r="B113" s="2" t="s">
        <v>59</v>
      </c>
      <c r="C113" s="3">
        <v>239</v>
      </c>
      <c r="D113" s="23"/>
    </row>
    <row r="114" spans="2:4" x14ac:dyDescent="0.25">
      <c r="B114" s="2" t="s">
        <v>60</v>
      </c>
      <c r="C114" s="3">
        <v>25</v>
      </c>
      <c r="D114" s="23"/>
    </row>
    <row r="115" spans="2:4" x14ac:dyDescent="0.25">
      <c r="B115" s="2" t="s">
        <v>57</v>
      </c>
      <c r="C115" s="3">
        <v>37.5</v>
      </c>
      <c r="D115" s="23"/>
    </row>
    <row r="116" spans="2:4" x14ac:dyDescent="0.25">
      <c r="B116" s="2" t="s">
        <v>61</v>
      </c>
      <c r="C116" s="3">
        <v>800</v>
      </c>
      <c r="D116" s="23"/>
    </row>
    <row r="117" spans="2:4" x14ac:dyDescent="0.25">
      <c r="B117" s="2" t="s">
        <v>70</v>
      </c>
      <c r="C117" s="3">
        <v>49</v>
      </c>
      <c r="D117" s="23"/>
    </row>
    <row r="118" spans="2:4" x14ac:dyDescent="0.25">
      <c r="B118" s="2" t="s">
        <v>62</v>
      </c>
      <c r="C118" s="3">
        <v>600</v>
      </c>
      <c r="D118" s="23"/>
    </row>
    <row r="119" spans="2:4" ht="13.5" customHeight="1" x14ac:dyDescent="0.25">
      <c r="B119" s="1" t="s">
        <v>18</v>
      </c>
      <c r="C119" s="4">
        <f>C104+C100+C95+C82+C79+C74+C108+C106+C92</f>
        <v>79141.010000000009</v>
      </c>
      <c r="D119" s="23"/>
    </row>
  </sheetData>
  <mergeCells count="6">
    <mergeCell ref="D104:D119"/>
    <mergeCell ref="B1:C1"/>
    <mergeCell ref="B35:C35"/>
    <mergeCell ref="H73:I73"/>
    <mergeCell ref="B73:C73"/>
    <mergeCell ref="D73:D10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EA52-C7D5-4EC3-B094-C6B29FF88D01}">
  <dimension ref="B2:K44"/>
  <sheetViews>
    <sheetView workbookViewId="0">
      <selection activeCell="G20" sqref="G20"/>
    </sheetView>
  </sheetViews>
  <sheetFormatPr defaultRowHeight="15" x14ac:dyDescent="0.25"/>
  <cols>
    <col min="2" max="2" width="34" bestFit="1" customWidth="1"/>
    <col min="3" max="3" width="11.85546875" bestFit="1" customWidth="1"/>
    <col min="4" max="4" width="19.7109375" bestFit="1" customWidth="1"/>
    <col min="8" max="8" width="22" bestFit="1" customWidth="1"/>
    <col min="9" max="9" width="10.85546875" bestFit="1" customWidth="1"/>
  </cols>
  <sheetData>
    <row r="2" spans="2:4" x14ac:dyDescent="0.25">
      <c r="B2" s="20">
        <v>46082</v>
      </c>
      <c r="C2" s="21"/>
      <c r="D2" s="23"/>
    </row>
    <row r="3" spans="2:4" x14ac:dyDescent="0.25">
      <c r="B3" s="1" t="s">
        <v>0</v>
      </c>
      <c r="C3" s="5">
        <f>C4</f>
        <v>206.32</v>
      </c>
      <c r="D3" s="23"/>
    </row>
    <row r="4" spans="2:4" x14ac:dyDescent="0.25">
      <c r="B4" s="2" t="s">
        <v>1</v>
      </c>
      <c r="C4" s="3">
        <v>206.32</v>
      </c>
      <c r="D4" s="23"/>
    </row>
    <row r="5" spans="2:4" x14ac:dyDescent="0.25">
      <c r="B5" s="1" t="s">
        <v>2</v>
      </c>
      <c r="C5" s="5">
        <f>C6</f>
        <v>445.91</v>
      </c>
      <c r="D5" s="23"/>
    </row>
    <row r="6" spans="2:4" x14ac:dyDescent="0.25">
      <c r="B6" s="2" t="s">
        <v>3</v>
      </c>
      <c r="C6" s="3">
        <v>445.91</v>
      </c>
      <c r="D6" s="23"/>
    </row>
    <row r="7" spans="2:4" x14ac:dyDescent="0.25">
      <c r="B7" s="2" t="s">
        <v>3</v>
      </c>
      <c r="C7" s="3">
        <v>547.6</v>
      </c>
      <c r="D7" s="23"/>
    </row>
    <row r="8" spans="2:4" x14ac:dyDescent="0.25">
      <c r="B8" s="1" t="s">
        <v>4</v>
      </c>
      <c r="C8" s="5">
        <f>C9+C10+C11+C12+C13+C14+C15+C16+C17+C18+C19</f>
        <v>18004</v>
      </c>
      <c r="D8" s="23"/>
    </row>
    <row r="9" spans="2:4" x14ac:dyDescent="0.25">
      <c r="B9" s="2" t="s">
        <v>5</v>
      </c>
      <c r="C9" s="3">
        <v>1304</v>
      </c>
      <c r="D9" s="23"/>
    </row>
    <row r="10" spans="2:4" x14ac:dyDescent="0.25">
      <c r="B10" s="2" t="s">
        <v>6</v>
      </c>
      <c r="C10" s="3">
        <v>1400</v>
      </c>
      <c r="D10" s="23"/>
    </row>
    <row r="11" spans="2:4" x14ac:dyDescent="0.25">
      <c r="B11" s="2" t="s">
        <v>36</v>
      </c>
      <c r="C11" s="3">
        <v>1750</v>
      </c>
      <c r="D11" s="23"/>
    </row>
    <row r="12" spans="2:4" x14ac:dyDescent="0.25">
      <c r="B12" s="2" t="s">
        <v>8</v>
      </c>
      <c r="C12" s="3">
        <v>2250</v>
      </c>
      <c r="D12" s="23"/>
    </row>
    <row r="13" spans="2:4" x14ac:dyDescent="0.25">
      <c r="B13" s="2" t="s">
        <v>9</v>
      </c>
      <c r="C13" s="3">
        <v>2000</v>
      </c>
      <c r="D13" s="23"/>
    </row>
    <row r="14" spans="2:4" x14ac:dyDescent="0.25">
      <c r="B14" s="2" t="s">
        <v>10</v>
      </c>
      <c r="C14" s="3">
        <v>1750</v>
      </c>
      <c r="D14" s="23"/>
    </row>
    <row r="15" spans="2:4" x14ac:dyDescent="0.25">
      <c r="B15" s="2" t="s">
        <v>11</v>
      </c>
      <c r="C15" s="3">
        <v>1400</v>
      </c>
      <c r="D15" s="23"/>
    </row>
    <row r="16" spans="2:4" x14ac:dyDescent="0.25">
      <c r="B16" s="2" t="s">
        <v>12</v>
      </c>
      <c r="C16" s="3">
        <v>1400</v>
      </c>
      <c r="D16" s="23"/>
    </row>
    <row r="17" spans="2:9" x14ac:dyDescent="0.25">
      <c r="B17" s="2" t="s">
        <v>26</v>
      </c>
      <c r="C17" s="3">
        <v>1600</v>
      </c>
      <c r="D17" s="23"/>
    </row>
    <row r="18" spans="2:9" x14ac:dyDescent="0.25">
      <c r="B18" s="2" t="s">
        <v>88</v>
      </c>
      <c r="C18" s="3">
        <v>1400</v>
      </c>
      <c r="D18" s="23"/>
    </row>
    <row r="19" spans="2:9" x14ac:dyDescent="0.25">
      <c r="B19" s="2" t="s">
        <v>89</v>
      </c>
      <c r="C19" s="3">
        <v>1750</v>
      </c>
      <c r="D19" s="23"/>
    </row>
    <row r="20" spans="2:9" x14ac:dyDescent="0.25">
      <c r="B20" s="1" t="s">
        <v>13</v>
      </c>
      <c r="C20" s="5">
        <f>C21+C22+C23+C26+C24+C25</f>
        <v>6079.7999999999993</v>
      </c>
      <c r="D20" s="23"/>
    </row>
    <row r="21" spans="2:9" x14ac:dyDescent="0.25">
      <c r="B21" s="2" t="s">
        <v>86</v>
      </c>
      <c r="C21" s="9">
        <v>3500</v>
      </c>
      <c r="D21" s="23"/>
    </row>
    <row r="22" spans="2:9" x14ac:dyDescent="0.25">
      <c r="B22" s="2" t="s">
        <v>75</v>
      </c>
      <c r="C22" s="3">
        <v>479.2</v>
      </c>
      <c r="D22" s="23"/>
      <c r="H22" s="20" t="s">
        <v>83</v>
      </c>
      <c r="I22" s="21"/>
    </row>
    <row r="23" spans="2:9" x14ac:dyDescent="0.25">
      <c r="B23" s="2" t="s">
        <v>78</v>
      </c>
      <c r="C23" s="3">
        <v>509.15</v>
      </c>
      <c r="D23" s="23"/>
      <c r="H23" s="1" t="s">
        <v>0</v>
      </c>
      <c r="I23" s="5">
        <f>I24</f>
        <v>1504.92</v>
      </c>
    </row>
    <row r="24" spans="2:9" x14ac:dyDescent="0.25">
      <c r="B24" s="2" t="s">
        <v>79</v>
      </c>
      <c r="C24" s="3">
        <v>426.4</v>
      </c>
      <c r="D24" s="23"/>
      <c r="H24" s="2" t="s">
        <v>84</v>
      </c>
      <c r="I24" s="3">
        <v>1504.92</v>
      </c>
    </row>
    <row r="25" spans="2:9" x14ac:dyDescent="0.25">
      <c r="B25" s="2" t="s">
        <v>80</v>
      </c>
      <c r="C25" s="3">
        <v>453.05</v>
      </c>
      <c r="D25" s="23"/>
      <c r="H25" s="1" t="s">
        <v>27</v>
      </c>
      <c r="I25" s="5">
        <f>I26</f>
        <v>61.8</v>
      </c>
    </row>
    <row r="26" spans="2:9" x14ac:dyDescent="0.25">
      <c r="B26" s="2" t="s">
        <v>76</v>
      </c>
      <c r="C26" s="3">
        <v>712</v>
      </c>
      <c r="D26" s="23"/>
      <c r="H26" s="2" t="s">
        <v>85</v>
      </c>
      <c r="I26" s="3">
        <v>61.8</v>
      </c>
    </row>
    <row r="27" spans="2:9" x14ac:dyDescent="0.25">
      <c r="B27" s="1" t="s">
        <v>71</v>
      </c>
      <c r="C27" s="5">
        <f>C28</f>
        <v>50</v>
      </c>
      <c r="D27" s="23"/>
    </row>
    <row r="28" spans="2:9" x14ac:dyDescent="0.25">
      <c r="B28" s="2" t="s">
        <v>72</v>
      </c>
      <c r="C28" s="3">
        <v>50</v>
      </c>
      <c r="D28" s="23"/>
    </row>
    <row r="29" spans="2:9" x14ac:dyDescent="0.25">
      <c r="B29" s="1" t="s">
        <v>14</v>
      </c>
      <c r="C29" s="5">
        <f>C30</f>
        <v>450.88</v>
      </c>
      <c r="D29" s="24"/>
    </row>
    <row r="30" spans="2:9" x14ac:dyDescent="0.25">
      <c r="B30" s="2" t="s">
        <v>15</v>
      </c>
      <c r="C30" s="3">
        <v>450.88</v>
      </c>
      <c r="D30" s="10" t="s">
        <v>81</v>
      </c>
    </row>
    <row r="31" spans="2:9" x14ac:dyDescent="0.25">
      <c r="B31" s="1" t="s">
        <v>27</v>
      </c>
      <c r="C31" s="5">
        <f>C32</f>
        <v>521</v>
      </c>
      <c r="D31" s="12"/>
    </row>
    <row r="32" spans="2:9" x14ac:dyDescent="0.25">
      <c r="B32" s="2" t="s">
        <v>28</v>
      </c>
      <c r="C32" s="3">
        <v>521</v>
      </c>
      <c r="D32" s="10" t="s">
        <v>82</v>
      </c>
    </row>
    <row r="33" spans="2:11" x14ac:dyDescent="0.25">
      <c r="B33" s="1" t="s">
        <v>16</v>
      </c>
      <c r="C33" s="5">
        <f>C34</f>
        <v>40</v>
      </c>
      <c r="D33" s="22"/>
    </row>
    <row r="34" spans="2:11" x14ac:dyDescent="0.25">
      <c r="B34" s="2" t="s">
        <v>17</v>
      </c>
      <c r="C34" s="3">
        <v>40</v>
      </c>
      <c r="D34" s="23"/>
    </row>
    <row r="35" spans="2:11" x14ac:dyDescent="0.25">
      <c r="B35" s="2" t="s">
        <v>77</v>
      </c>
      <c r="C35" s="3">
        <v>200</v>
      </c>
      <c r="D35" s="23"/>
    </row>
    <row r="36" spans="2:11" hidden="1" x14ac:dyDescent="0.25">
      <c r="B36" s="1" t="s">
        <v>73</v>
      </c>
      <c r="C36" s="5">
        <f>SUM(C37:C37)</f>
        <v>1393.44</v>
      </c>
      <c r="D36" s="23"/>
    </row>
    <row r="37" spans="2:11" hidden="1" x14ac:dyDescent="0.25">
      <c r="B37" s="2" t="s">
        <v>74</v>
      </c>
      <c r="C37" s="3">
        <v>1393.44</v>
      </c>
      <c r="D37" s="23"/>
      <c r="K37" s="13"/>
    </row>
    <row r="38" spans="2:11" x14ac:dyDescent="0.25">
      <c r="B38" s="1" t="s">
        <v>33</v>
      </c>
      <c r="C38" s="5">
        <f>C39</f>
        <v>700</v>
      </c>
      <c r="D38" s="23"/>
    </row>
    <row r="39" spans="2:11" x14ac:dyDescent="0.25">
      <c r="B39" s="2" t="s">
        <v>34</v>
      </c>
      <c r="C39" s="3">
        <v>700</v>
      </c>
      <c r="D39" s="23"/>
    </row>
    <row r="40" spans="2:11" x14ac:dyDescent="0.25">
      <c r="B40" s="1" t="s">
        <v>53</v>
      </c>
      <c r="C40" s="5">
        <f>C42+C41</f>
        <v>1281</v>
      </c>
      <c r="D40" s="23"/>
    </row>
    <row r="41" spans="2:11" x14ac:dyDescent="0.25">
      <c r="B41" s="2" t="s">
        <v>87</v>
      </c>
      <c r="C41" s="8">
        <v>281</v>
      </c>
      <c r="D41" s="23"/>
    </row>
    <row r="42" spans="2:11" x14ac:dyDescent="0.25">
      <c r="B42" s="2" t="s">
        <v>62</v>
      </c>
      <c r="C42" s="3">
        <v>1000</v>
      </c>
      <c r="D42" s="23"/>
    </row>
    <row r="43" spans="2:11" x14ac:dyDescent="0.25">
      <c r="B43" s="1" t="s">
        <v>18</v>
      </c>
      <c r="C43" s="4">
        <f>C3+C5+C8+C20+C27+C29+C31+C33+C38+C40</f>
        <v>27778.91</v>
      </c>
      <c r="D43" s="23"/>
    </row>
    <row r="44" spans="2:11" x14ac:dyDescent="0.25">
      <c r="D44" s="23"/>
    </row>
  </sheetData>
  <mergeCells count="4">
    <mergeCell ref="B2:C2"/>
    <mergeCell ref="D33:D44"/>
    <mergeCell ref="H22:I22"/>
    <mergeCell ref="D2:D29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ACBC-2974-493B-9CB3-B8306582A5EE}">
  <dimension ref="B2:K45"/>
  <sheetViews>
    <sheetView workbookViewId="0">
      <selection activeCell="C15" sqref="C15"/>
    </sheetView>
  </sheetViews>
  <sheetFormatPr defaultRowHeight="15" x14ac:dyDescent="0.25"/>
  <cols>
    <col min="2" max="2" width="34" bestFit="1" customWidth="1"/>
    <col min="3" max="3" width="11.85546875" bestFit="1" customWidth="1"/>
    <col min="4" max="4" width="19.7109375" bestFit="1" customWidth="1"/>
    <col min="8" max="8" width="22" bestFit="1" customWidth="1"/>
    <col min="9" max="9" width="10.85546875" bestFit="1" customWidth="1"/>
  </cols>
  <sheetData>
    <row r="2" spans="2:9" x14ac:dyDescent="0.25">
      <c r="B2" s="20">
        <v>46143</v>
      </c>
      <c r="C2" s="21"/>
      <c r="D2" s="23"/>
    </row>
    <row r="3" spans="2:9" x14ac:dyDescent="0.25">
      <c r="B3" s="1" t="s">
        <v>0</v>
      </c>
      <c r="C3" s="5">
        <f>C4</f>
        <v>392.07</v>
      </c>
      <c r="D3" s="23"/>
    </row>
    <row r="4" spans="2:9" x14ac:dyDescent="0.25">
      <c r="B4" s="2" t="s">
        <v>91</v>
      </c>
      <c r="C4" s="14">
        <v>392.07</v>
      </c>
      <c r="D4" s="23"/>
    </row>
    <row r="5" spans="2:9" x14ac:dyDescent="0.25">
      <c r="B5" s="2" t="s">
        <v>94</v>
      </c>
      <c r="C5" s="3">
        <v>153</v>
      </c>
      <c r="D5" s="23"/>
    </row>
    <row r="6" spans="2:9" x14ac:dyDescent="0.25">
      <c r="B6" s="1" t="s">
        <v>2</v>
      </c>
      <c r="C6" s="5">
        <f>C7</f>
        <v>445.91</v>
      </c>
      <c r="D6" s="23"/>
    </row>
    <row r="7" spans="2:9" x14ac:dyDescent="0.25">
      <c r="B7" s="2" t="s">
        <v>3</v>
      </c>
      <c r="C7" s="3">
        <v>445.91</v>
      </c>
      <c r="D7" s="23"/>
    </row>
    <row r="8" spans="2:9" x14ac:dyDescent="0.25">
      <c r="B8" s="1" t="s">
        <v>4</v>
      </c>
      <c r="C8" s="5">
        <f>C9+C10+C11+C12+C13+C14+C15+C16+C17+C18+C19</f>
        <v>16358</v>
      </c>
      <c r="D8" s="23"/>
      <c r="H8" s="20" t="s">
        <v>105</v>
      </c>
      <c r="I8" s="21"/>
    </row>
    <row r="9" spans="2:9" x14ac:dyDescent="0.25">
      <c r="B9" s="2" t="s">
        <v>5</v>
      </c>
      <c r="C9" s="3">
        <v>1308</v>
      </c>
      <c r="D9" s="23"/>
      <c r="H9" s="1" t="s">
        <v>92</v>
      </c>
      <c r="I9" s="5">
        <f>I10</f>
        <v>153</v>
      </c>
    </row>
    <row r="10" spans="2:9" x14ac:dyDescent="0.25">
      <c r="B10" s="2" t="s">
        <v>6</v>
      </c>
      <c r="C10" s="3">
        <v>1300</v>
      </c>
      <c r="D10" s="23"/>
      <c r="H10" s="2" t="s">
        <v>94</v>
      </c>
      <c r="I10" s="3">
        <v>153</v>
      </c>
    </row>
    <row r="11" spans="2:9" x14ac:dyDescent="0.25">
      <c r="B11" s="2" t="s">
        <v>36</v>
      </c>
      <c r="C11" s="3">
        <v>1900</v>
      </c>
      <c r="D11" s="23"/>
      <c r="H11" s="7"/>
      <c r="I11" s="8"/>
    </row>
    <row r="12" spans="2:9" x14ac:dyDescent="0.25">
      <c r="B12" s="2" t="s">
        <v>8</v>
      </c>
      <c r="C12" s="3">
        <v>1650</v>
      </c>
      <c r="D12" s="23"/>
      <c r="H12" s="2"/>
      <c r="I12" s="3"/>
    </row>
    <row r="13" spans="2:9" x14ac:dyDescent="0.25">
      <c r="B13" s="2" t="s">
        <v>9</v>
      </c>
      <c r="C13" s="3">
        <v>1750</v>
      </c>
      <c r="D13" s="23"/>
    </row>
    <row r="14" spans="2:9" x14ac:dyDescent="0.25">
      <c r="B14" s="2" t="s">
        <v>10</v>
      </c>
      <c r="C14" s="3">
        <f>-100+2000</f>
        <v>1900</v>
      </c>
      <c r="D14" s="23"/>
    </row>
    <row r="15" spans="2:9" x14ac:dyDescent="0.25">
      <c r="B15" s="2" t="s">
        <v>11</v>
      </c>
      <c r="C15" s="3">
        <v>1600</v>
      </c>
      <c r="D15" s="23"/>
    </row>
    <row r="16" spans="2:9" x14ac:dyDescent="0.25">
      <c r="B16" s="2" t="s">
        <v>12</v>
      </c>
      <c r="C16" s="3">
        <v>1300</v>
      </c>
      <c r="D16" s="23"/>
    </row>
    <row r="17" spans="2:4" x14ac:dyDescent="0.25">
      <c r="B17" s="2" t="s">
        <v>26</v>
      </c>
      <c r="C17" s="3">
        <v>1300</v>
      </c>
      <c r="D17" s="23"/>
    </row>
    <row r="18" spans="2:4" x14ac:dyDescent="0.25">
      <c r="B18" s="2" t="s">
        <v>88</v>
      </c>
      <c r="C18" s="3">
        <v>600</v>
      </c>
      <c r="D18" s="23"/>
    </row>
    <row r="19" spans="2:4" x14ac:dyDescent="0.25">
      <c r="B19" s="2" t="s">
        <v>89</v>
      </c>
      <c r="C19" s="3">
        <v>1750</v>
      </c>
      <c r="D19" s="23"/>
    </row>
    <row r="20" spans="2:4" x14ac:dyDescent="0.25">
      <c r="B20" s="1" t="s">
        <v>13</v>
      </c>
      <c r="C20" s="5">
        <f>C22+C26+C27+C28</f>
        <v>4707.22</v>
      </c>
      <c r="D20" s="23"/>
    </row>
    <row r="21" spans="2:4" x14ac:dyDescent="0.25">
      <c r="B21" s="2" t="s">
        <v>98</v>
      </c>
      <c r="C21" s="9">
        <v>1030.01</v>
      </c>
      <c r="D21" s="23"/>
    </row>
    <row r="22" spans="2:4" x14ac:dyDescent="0.25">
      <c r="B22" s="2" t="s">
        <v>90</v>
      </c>
      <c r="C22" s="9">
        <v>658.16</v>
      </c>
      <c r="D22" s="23"/>
    </row>
    <row r="23" spans="2:4" x14ac:dyDescent="0.25">
      <c r="B23" s="2" t="s">
        <v>93</v>
      </c>
      <c r="C23" s="9">
        <v>660.16</v>
      </c>
      <c r="D23" s="23"/>
    </row>
    <row r="24" spans="2:4" x14ac:dyDescent="0.25">
      <c r="B24" s="2" t="s">
        <v>101</v>
      </c>
      <c r="C24" s="3">
        <v>1658.13</v>
      </c>
      <c r="D24" s="23"/>
    </row>
    <row r="25" spans="2:4" x14ac:dyDescent="0.25">
      <c r="B25" s="2" t="s">
        <v>102</v>
      </c>
      <c r="C25" s="3">
        <v>1761.76</v>
      </c>
      <c r="D25" s="23"/>
    </row>
    <row r="26" spans="2:4" x14ac:dyDescent="0.25">
      <c r="B26" s="2" t="s">
        <v>99</v>
      </c>
      <c r="C26" s="3">
        <v>1617.6</v>
      </c>
      <c r="D26" s="23"/>
    </row>
    <row r="27" spans="2:4" x14ac:dyDescent="0.25">
      <c r="B27" s="2" t="s">
        <v>100</v>
      </c>
      <c r="C27" s="3">
        <v>1718.7</v>
      </c>
      <c r="D27" s="23"/>
    </row>
    <row r="28" spans="2:4" x14ac:dyDescent="0.25">
      <c r="B28" s="2" t="s">
        <v>97</v>
      </c>
      <c r="C28" s="3">
        <v>712.76</v>
      </c>
      <c r="D28" s="23"/>
    </row>
    <row r="29" spans="2:4" x14ac:dyDescent="0.25">
      <c r="B29" s="1" t="s">
        <v>71</v>
      </c>
      <c r="C29" s="5">
        <f>C30</f>
        <v>50</v>
      </c>
      <c r="D29" s="23"/>
    </row>
    <row r="30" spans="2:4" x14ac:dyDescent="0.25">
      <c r="B30" s="2" t="s">
        <v>72</v>
      </c>
      <c r="C30" s="3">
        <v>50</v>
      </c>
      <c r="D30" s="23"/>
    </row>
    <row r="31" spans="2:4" x14ac:dyDescent="0.25">
      <c r="B31" s="1" t="s">
        <v>14</v>
      </c>
      <c r="C31" s="5">
        <f>C32</f>
        <v>450.88</v>
      </c>
      <c r="D31" s="24"/>
    </row>
    <row r="32" spans="2:4" x14ac:dyDescent="0.25">
      <c r="B32" s="2" t="s">
        <v>15</v>
      </c>
      <c r="C32" s="3">
        <v>450.88</v>
      </c>
      <c r="D32" s="10" t="s">
        <v>103</v>
      </c>
    </row>
    <row r="33" spans="2:11" x14ac:dyDescent="0.25">
      <c r="B33" s="1" t="s">
        <v>27</v>
      </c>
      <c r="C33" s="5">
        <f>C34</f>
        <v>521</v>
      </c>
      <c r="D33" s="12"/>
    </row>
    <row r="34" spans="2:11" x14ac:dyDescent="0.25">
      <c r="B34" s="2" t="s">
        <v>28</v>
      </c>
      <c r="C34" s="3">
        <v>521</v>
      </c>
      <c r="D34" s="10" t="s">
        <v>104</v>
      </c>
    </row>
    <row r="35" spans="2:11" x14ac:dyDescent="0.25">
      <c r="B35" s="1" t="s">
        <v>16</v>
      </c>
      <c r="C35" s="5">
        <f>C36</f>
        <v>40</v>
      </c>
      <c r="D35" s="22"/>
    </row>
    <row r="36" spans="2:11" x14ac:dyDescent="0.25">
      <c r="B36" s="2" t="s">
        <v>17</v>
      </c>
      <c r="C36" s="3">
        <v>40</v>
      </c>
      <c r="D36" s="23"/>
    </row>
    <row r="37" spans="2:11" x14ac:dyDescent="0.25">
      <c r="B37" s="2" t="s">
        <v>77</v>
      </c>
      <c r="C37" s="3">
        <v>200</v>
      </c>
      <c r="D37" s="23"/>
    </row>
    <row r="38" spans="2:11" x14ac:dyDescent="0.25">
      <c r="B38" s="1" t="s">
        <v>95</v>
      </c>
      <c r="C38" s="5">
        <f>SUM(C39:C39)</f>
        <v>2900</v>
      </c>
      <c r="D38" s="23"/>
    </row>
    <row r="39" spans="2:11" x14ac:dyDescent="0.25">
      <c r="B39" s="2" t="s">
        <v>96</v>
      </c>
      <c r="C39" s="3">
        <v>2900</v>
      </c>
      <c r="D39" s="23"/>
      <c r="K39" s="13"/>
    </row>
    <row r="40" spans="2:11" x14ac:dyDescent="0.25">
      <c r="B40" s="1" t="s">
        <v>33</v>
      </c>
      <c r="C40" s="5">
        <f>C41</f>
        <v>700</v>
      </c>
      <c r="D40" s="23"/>
    </row>
    <row r="41" spans="2:11" x14ac:dyDescent="0.25">
      <c r="B41" s="2" t="s">
        <v>34</v>
      </c>
      <c r="C41" s="3">
        <v>700</v>
      </c>
      <c r="D41" s="23"/>
    </row>
    <row r="42" spans="2:11" x14ac:dyDescent="0.25">
      <c r="B42" s="1" t="s">
        <v>53</v>
      </c>
      <c r="C42" s="5">
        <f>C43</f>
        <v>1000</v>
      </c>
      <c r="D42" s="23"/>
    </row>
    <row r="43" spans="2:11" x14ac:dyDescent="0.25">
      <c r="B43" s="2" t="s">
        <v>62</v>
      </c>
      <c r="C43" s="3">
        <v>1000</v>
      </c>
      <c r="D43" s="23"/>
    </row>
    <row r="44" spans="2:11" x14ac:dyDescent="0.25">
      <c r="B44" s="1" t="s">
        <v>18</v>
      </c>
      <c r="C44" s="4">
        <f>C3+C6+C8+C20+C29+C31+C33+C35+C40+C42+C38</f>
        <v>27565.08</v>
      </c>
      <c r="D44" s="23"/>
    </row>
    <row r="45" spans="2:11" x14ac:dyDescent="0.25">
      <c r="D45" s="23"/>
    </row>
  </sheetData>
  <mergeCells count="4">
    <mergeCell ref="B2:C2"/>
    <mergeCell ref="D2:D31"/>
    <mergeCell ref="H8:I8"/>
    <mergeCell ref="D35:D45"/>
  </mergeCells>
  <phoneticPr fontId="6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2382-69F0-44C0-86D8-FD83AB4D5A14}">
  <dimension ref="B2:I39"/>
  <sheetViews>
    <sheetView workbookViewId="0">
      <selection activeCell="B39" sqref="B39"/>
    </sheetView>
  </sheetViews>
  <sheetFormatPr defaultRowHeight="15" x14ac:dyDescent="0.25"/>
  <cols>
    <col min="2" max="2" width="34" bestFit="1" customWidth="1"/>
    <col min="3" max="3" width="11.85546875" bestFit="1" customWidth="1"/>
    <col min="4" max="4" width="19.7109375" bestFit="1" customWidth="1"/>
    <col min="8" max="8" width="22" bestFit="1" customWidth="1"/>
    <col min="9" max="9" width="10.85546875" bestFit="1" customWidth="1"/>
  </cols>
  <sheetData>
    <row r="2" spans="2:9" x14ac:dyDescent="0.25">
      <c r="B2" s="20">
        <v>46174</v>
      </c>
      <c r="C2" s="21"/>
      <c r="D2" s="23"/>
    </row>
    <row r="3" spans="2:9" x14ac:dyDescent="0.25">
      <c r="B3" s="1" t="s">
        <v>0</v>
      </c>
      <c r="C3" s="5">
        <f>C4</f>
        <v>392.07</v>
      </c>
      <c r="D3" s="23"/>
    </row>
    <row r="4" spans="2:9" x14ac:dyDescent="0.25">
      <c r="B4" s="2" t="s">
        <v>91</v>
      </c>
      <c r="C4" s="14">
        <v>392.07</v>
      </c>
      <c r="D4" s="23"/>
    </row>
    <row r="5" spans="2:9" x14ac:dyDescent="0.25">
      <c r="B5" s="1" t="s">
        <v>2</v>
      </c>
      <c r="C5" s="5">
        <f>C6</f>
        <v>445.91</v>
      </c>
      <c r="D5" s="23"/>
    </row>
    <row r="6" spans="2:9" x14ac:dyDescent="0.25">
      <c r="B6" s="2" t="s">
        <v>3</v>
      </c>
      <c r="C6" s="3">
        <v>445.91</v>
      </c>
      <c r="D6" s="23"/>
    </row>
    <row r="7" spans="2:9" x14ac:dyDescent="0.25">
      <c r="B7" s="1" t="s">
        <v>4</v>
      </c>
      <c r="C7" s="5">
        <f>C8+C9+C10+C11+C12+C13+C14+C15+C16+C17+C18</f>
        <v>16630</v>
      </c>
      <c r="D7" s="23"/>
      <c r="H7" s="20" t="s">
        <v>107</v>
      </c>
      <c r="I7" s="21"/>
    </row>
    <row r="8" spans="2:9" x14ac:dyDescent="0.25">
      <c r="B8" s="2" t="s">
        <v>5</v>
      </c>
      <c r="C8" s="3">
        <v>1280</v>
      </c>
      <c r="D8" s="23"/>
      <c r="H8" s="1" t="s">
        <v>106</v>
      </c>
      <c r="I8" s="5">
        <f>I9</f>
        <v>1863</v>
      </c>
    </row>
    <row r="9" spans="2:9" x14ac:dyDescent="0.25">
      <c r="B9" s="2" t="s">
        <v>6</v>
      </c>
      <c r="C9" s="3">
        <v>1400</v>
      </c>
      <c r="D9" s="23"/>
      <c r="H9" s="2" t="s">
        <v>108</v>
      </c>
      <c r="I9" s="3">
        <f>1392.5+425+45.5</f>
        <v>1863</v>
      </c>
    </row>
    <row r="10" spans="2:9" x14ac:dyDescent="0.25">
      <c r="B10" s="2" t="s">
        <v>36</v>
      </c>
      <c r="C10" s="3">
        <v>1750</v>
      </c>
      <c r="D10" s="23"/>
      <c r="H10" s="7"/>
      <c r="I10" s="8"/>
    </row>
    <row r="11" spans="2:9" x14ac:dyDescent="0.25">
      <c r="B11" s="2" t="s">
        <v>8</v>
      </c>
      <c r="C11" s="3">
        <v>1750</v>
      </c>
      <c r="D11" s="23"/>
      <c r="H11" s="2"/>
      <c r="I11" s="3"/>
    </row>
    <row r="12" spans="2:9" x14ac:dyDescent="0.25">
      <c r="B12" s="2" t="s">
        <v>9</v>
      </c>
      <c r="C12" s="3">
        <v>2000</v>
      </c>
      <c r="D12" s="23"/>
    </row>
    <row r="13" spans="2:9" x14ac:dyDescent="0.25">
      <c r="B13" s="2" t="s">
        <v>10</v>
      </c>
      <c r="C13" s="3">
        <v>2000</v>
      </c>
      <c r="D13" s="23"/>
    </row>
    <row r="14" spans="2:9" x14ac:dyDescent="0.25">
      <c r="B14" s="2" t="s">
        <v>11</v>
      </c>
      <c r="C14" s="3">
        <v>1700</v>
      </c>
      <c r="D14" s="23"/>
    </row>
    <row r="15" spans="2:9" x14ac:dyDescent="0.25">
      <c r="B15" s="2" t="s">
        <v>12</v>
      </c>
      <c r="C15" s="3">
        <v>1400</v>
      </c>
      <c r="D15" s="23"/>
    </row>
    <row r="16" spans="2:9" x14ac:dyDescent="0.25">
      <c r="B16" s="2" t="s">
        <v>26</v>
      </c>
      <c r="C16" s="3">
        <v>1400</v>
      </c>
      <c r="D16" s="23"/>
    </row>
    <row r="17" spans="2:4" x14ac:dyDescent="0.25">
      <c r="B17" s="2" t="s">
        <v>88</v>
      </c>
      <c r="C17" s="3">
        <v>700</v>
      </c>
      <c r="D17" s="23"/>
    </row>
    <row r="18" spans="2:4" x14ac:dyDescent="0.25">
      <c r="B18" s="2" t="s">
        <v>89</v>
      </c>
      <c r="C18" s="3">
        <v>1250</v>
      </c>
      <c r="D18" s="23"/>
    </row>
    <row r="19" spans="2:4" x14ac:dyDescent="0.25">
      <c r="B19" s="1" t="s">
        <v>13</v>
      </c>
      <c r="C19" s="5">
        <f>SUM(C20:C26)</f>
        <v>6441.3600000000006</v>
      </c>
      <c r="D19" s="23"/>
    </row>
    <row r="20" spans="2:4" x14ac:dyDescent="0.25">
      <c r="B20" s="2" t="s">
        <v>112</v>
      </c>
      <c r="C20" s="9">
        <v>1203.92</v>
      </c>
      <c r="D20" s="23"/>
    </row>
    <row r="21" spans="2:4" x14ac:dyDescent="0.25">
      <c r="B21" s="2" t="s">
        <v>98</v>
      </c>
      <c r="C21" s="9">
        <v>1030.01</v>
      </c>
      <c r="D21" s="23"/>
    </row>
    <row r="22" spans="2:4" x14ac:dyDescent="0.25">
      <c r="B22" s="2" t="s">
        <v>90</v>
      </c>
      <c r="C22" s="9">
        <v>658.16</v>
      </c>
      <c r="D22" s="23"/>
    </row>
    <row r="23" spans="2:4" x14ac:dyDescent="0.25">
      <c r="B23" s="2" t="s">
        <v>93</v>
      </c>
      <c r="C23" s="9">
        <v>660.16</v>
      </c>
      <c r="D23" s="23"/>
    </row>
    <row r="24" spans="2:4" x14ac:dyDescent="0.25">
      <c r="B24" s="2" t="s">
        <v>110</v>
      </c>
      <c r="C24" s="3">
        <v>1055.2</v>
      </c>
      <c r="D24" s="23"/>
    </row>
    <row r="25" spans="2:4" x14ac:dyDescent="0.25">
      <c r="B25" s="2" t="s">
        <v>111</v>
      </c>
      <c r="C25" s="3">
        <v>1121.1500000000001</v>
      </c>
      <c r="D25" s="23"/>
    </row>
    <row r="26" spans="2:4" x14ac:dyDescent="0.25">
      <c r="B26" s="2" t="s">
        <v>109</v>
      </c>
      <c r="C26" s="3">
        <v>712.76</v>
      </c>
      <c r="D26" s="23"/>
    </row>
    <row r="27" spans="2:4" x14ac:dyDescent="0.25">
      <c r="B27" s="1" t="s">
        <v>71</v>
      </c>
      <c r="C27" s="5">
        <f>C28</f>
        <v>50</v>
      </c>
      <c r="D27" s="23"/>
    </row>
    <row r="28" spans="2:4" x14ac:dyDescent="0.25">
      <c r="B28" s="2" t="s">
        <v>72</v>
      </c>
      <c r="C28" s="3">
        <v>50</v>
      </c>
      <c r="D28" s="23"/>
    </row>
    <row r="29" spans="2:4" x14ac:dyDescent="0.25">
      <c r="B29" s="1" t="s">
        <v>14</v>
      </c>
      <c r="C29" s="5">
        <f>C30</f>
        <v>450.88</v>
      </c>
      <c r="D29" s="24"/>
    </row>
    <row r="30" spans="2:4" x14ac:dyDescent="0.25">
      <c r="B30" s="2" t="s">
        <v>15</v>
      </c>
      <c r="C30" s="3">
        <v>450.88</v>
      </c>
      <c r="D30" s="10" t="s">
        <v>113</v>
      </c>
    </row>
    <row r="31" spans="2:4" x14ac:dyDescent="0.25">
      <c r="B31" s="1" t="s">
        <v>16</v>
      </c>
      <c r="C31" s="5">
        <f>C32</f>
        <v>40</v>
      </c>
      <c r="D31" s="22"/>
    </row>
    <row r="32" spans="2:4" x14ac:dyDescent="0.25">
      <c r="B32" s="2" t="s">
        <v>17</v>
      </c>
      <c r="C32" s="3">
        <v>40</v>
      </c>
      <c r="D32" s="23"/>
    </row>
    <row r="33" spans="2:4" x14ac:dyDescent="0.25">
      <c r="B33" s="2" t="s">
        <v>77</v>
      </c>
      <c r="C33" s="3">
        <v>200</v>
      </c>
      <c r="D33" s="23"/>
    </row>
    <row r="34" spans="2:4" x14ac:dyDescent="0.25">
      <c r="B34" s="1" t="s">
        <v>33</v>
      </c>
      <c r="C34" s="5">
        <f>C35</f>
        <v>700</v>
      </c>
      <c r="D34" s="23"/>
    </row>
    <row r="35" spans="2:4" x14ac:dyDescent="0.25">
      <c r="B35" s="2" t="s">
        <v>34</v>
      </c>
      <c r="C35" s="3">
        <v>700</v>
      </c>
      <c r="D35" s="23"/>
    </row>
    <row r="36" spans="2:4" x14ac:dyDescent="0.25">
      <c r="B36" s="1" t="s">
        <v>53</v>
      </c>
      <c r="C36" s="5">
        <f>C37</f>
        <v>1000</v>
      </c>
      <c r="D36" s="23"/>
    </row>
    <row r="37" spans="2:4" x14ac:dyDescent="0.25">
      <c r="B37" s="2" t="s">
        <v>62</v>
      </c>
      <c r="C37" s="3">
        <v>1000</v>
      </c>
      <c r="D37" s="23"/>
    </row>
    <row r="38" spans="2:4" x14ac:dyDescent="0.25">
      <c r="B38" s="1" t="s">
        <v>18</v>
      </c>
      <c r="C38" s="4">
        <f>C3+C5+C7+C19+C27+C29+C31+C34+C36</f>
        <v>26150.22</v>
      </c>
      <c r="D38" s="23"/>
    </row>
    <row r="39" spans="2:4" x14ac:dyDescent="0.25">
      <c r="D39" s="23"/>
    </row>
  </sheetData>
  <mergeCells count="4">
    <mergeCell ref="B2:C2"/>
    <mergeCell ref="D2:D29"/>
    <mergeCell ref="H7:I7"/>
    <mergeCell ref="D31:D3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38F7-070C-401E-AEE4-DD271A2EE722}">
  <dimension ref="B2:I40"/>
  <sheetViews>
    <sheetView tabSelected="1" workbookViewId="0">
      <selection activeCell="H23" sqref="H23"/>
    </sheetView>
  </sheetViews>
  <sheetFormatPr defaultRowHeight="15" x14ac:dyDescent="0.25"/>
  <cols>
    <col min="2" max="2" width="34" bestFit="1" customWidth="1"/>
    <col min="3" max="3" width="11.85546875" bestFit="1" customWidth="1"/>
    <col min="4" max="4" width="20.7109375" bestFit="1" customWidth="1"/>
    <col min="8" max="8" width="22" bestFit="1" customWidth="1"/>
    <col min="9" max="9" width="10.85546875" bestFit="1" customWidth="1"/>
  </cols>
  <sheetData>
    <row r="2" spans="2:9" x14ac:dyDescent="0.25">
      <c r="B2" s="20">
        <v>46204</v>
      </c>
      <c r="C2" s="21"/>
      <c r="D2" s="23"/>
    </row>
    <row r="3" spans="2:9" x14ac:dyDescent="0.25">
      <c r="B3" s="1" t="s">
        <v>0</v>
      </c>
      <c r="C3" s="5">
        <f>C4+C5</f>
        <v>6322.98</v>
      </c>
      <c r="D3" s="23"/>
    </row>
    <row r="4" spans="2:9" x14ac:dyDescent="0.25">
      <c r="B4" s="2" t="s">
        <v>91</v>
      </c>
      <c r="C4" s="14">
        <v>451.02</v>
      </c>
      <c r="D4" s="23"/>
    </row>
    <row r="5" spans="2:9" x14ac:dyDescent="0.25">
      <c r="B5" s="2" t="s">
        <v>118</v>
      </c>
      <c r="C5" s="14">
        <v>5871.96</v>
      </c>
      <c r="D5" s="23"/>
    </row>
    <row r="6" spans="2:9" x14ac:dyDescent="0.25">
      <c r="B6" s="1" t="s">
        <v>2</v>
      </c>
      <c r="C6" s="5">
        <f>C7</f>
        <v>445.91</v>
      </c>
      <c r="D6" s="23"/>
    </row>
    <row r="7" spans="2:9" x14ac:dyDescent="0.25">
      <c r="B7" s="2" t="s">
        <v>3</v>
      </c>
      <c r="C7" s="3">
        <v>445.91</v>
      </c>
      <c r="D7" s="23"/>
    </row>
    <row r="8" spans="2:9" x14ac:dyDescent="0.25">
      <c r="B8" s="1" t="s">
        <v>4</v>
      </c>
      <c r="C8" s="5">
        <f>C9+C10+C11+C12+C13+C14+C15+C16+C17+C18+C19</f>
        <v>16673</v>
      </c>
      <c r="D8" s="23"/>
      <c r="H8" s="18"/>
      <c r="I8" s="19"/>
    </row>
    <row r="9" spans="2:9" x14ac:dyDescent="0.25">
      <c r="B9" s="2" t="s">
        <v>5</v>
      </c>
      <c r="C9" s="3">
        <v>1323</v>
      </c>
      <c r="D9" s="23"/>
      <c r="H9" s="15"/>
      <c r="I9" s="16"/>
    </row>
    <row r="10" spans="2:9" x14ac:dyDescent="0.25">
      <c r="B10" s="2" t="s">
        <v>6</v>
      </c>
      <c r="C10" s="3">
        <v>1400</v>
      </c>
      <c r="D10" s="23"/>
      <c r="H10" s="17"/>
      <c r="I10" s="9"/>
    </row>
    <row r="11" spans="2:9" x14ac:dyDescent="0.25">
      <c r="B11" s="2" t="s">
        <v>36</v>
      </c>
      <c r="C11" s="3">
        <v>1750</v>
      </c>
      <c r="D11" s="23"/>
      <c r="H11" s="7"/>
      <c r="I11" s="8"/>
    </row>
    <row r="12" spans="2:9" x14ac:dyDescent="0.25">
      <c r="B12" s="2" t="s">
        <v>8</v>
      </c>
      <c r="C12" s="3">
        <v>1750</v>
      </c>
      <c r="D12" s="23"/>
      <c r="H12" s="2"/>
      <c r="I12" s="3"/>
    </row>
    <row r="13" spans="2:9" x14ac:dyDescent="0.25">
      <c r="B13" s="2" t="s">
        <v>9</v>
      </c>
      <c r="C13" s="3">
        <v>2000</v>
      </c>
      <c r="D13" s="23"/>
    </row>
    <row r="14" spans="2:9" x14ac:dyDescent="0.25">
      <c r="B14" s="2" t="s">
        <v>10</v>
      </c>
      <c r="C14" s="3">
        <v>2000</v>
      </c>
      <c r="D14" s="23"/>
    </row>
    <row r="15" spans="2:9" x14ac:dyDescent="0.25">
      <c r="B15" s="2" t="s">
        <v>11</v>
      </c>
      <c r="C15" s="3">
        <v>1700</v>
      </c>
      <c r="D15" s="23"/>
    </row>
    <row r="16" spans="2:9" x14ac:dyDescent="0.25">
      <c r="B16" s="2" t="s">
        <v>12</v>
      </c>
      <c r="C16" s="3">
        <v>1400</v>
      </c>
      <c r="D16" s="23"/>
    </row>
    <row r="17" spans="2:4" x14ac:dyDescent="0.25">
      <c r="B17" s="2" t="s">
        <v>26</v>
      </c>
      <c r="C17" s="3">
        <v>1400</v>
      </c>
      <c r="D17" s="23"/>
    </row>
    <row r="18" spans="2:4" x14ac:dyDescent="0.25">
      <c r="B18" s="2" t="s">
        <v>88</v>
      </c>
      <c r="C18" s="3">
        <v>700</v>
      </c>
      <c r="D18" s="23"/>
    </row>
    <row r="19" spans="2:4" x14ac:dyDescent="0.25">
      <c r="B19" s="2" t="s">
        <v>89</v>
      </c>
      <c r="C19" s="3">
        <v>1250</v>
      </c>
      <c r="D19" s="23"/>
    </row>
    <row r="20" spans="2:4" x14ac:dyDescent="0.25">
      <c r="B20" s="1" t="s">
        <v>13</v>
      </c>
      <c r="C20" s="5">
        <f>SUM(C21:C27)</f>
        <v>3552.25</v>
      </c>
      <c r="D20" s="23"/>
    </row>
    <row r="21" spans="2:4" x14ac:dyDescent="0.25">
      <c r="B21" s="2" t="s">
        <v>116</v>
      </c>
      <c r="C21" s="9"/>
      <c r="D21" s="23"/>
    </row>
    <row r="22" spans="2:4" x14ac:dyDescent="0.25">
      <c r="B22" s="2" t="s">
        <v>112</v>
      </c>
      <c r="C22" s="9">
        <v>1203.92</v>
      </c>
      <c r="D22" s="23"/>
    </row>
    <row r="23" spans="2:4" x14ac:dyDescent="0.25">
      <c r="B23" s="2" t="s">
        <v>98</v>
      </c>
      <c r="C23" s="9">
        <v>1030.01</v>
      </c>
      <c r="D23" s="23"/>
    </row>
    <row r="24" spans="2:4" x14ac:dyDescent="0.25">
      <c r="B24" s="2" t="s">
        <v>90</v>
      </c>
      <c r="C24" s="9">
        <v>658.16</v>
      </c>
      <c r="D24" s="23"/>
    </row>
    <row r="25" spans="2:4" x14ac:dyDescent="0.25">
      <c r="B25" s="2" t="s">
        <v>93</v>
      </c>
      <c r="C25" s="9">
        <v>660.16</v>
      </c>
      <c r="D25" s="23"/>
    </row>
    <row r="26" spans="2:4" x14ac:dyDescent="0.25">
      <c r="B26" s="2" t="s">
        <v>114</v>
      </c>
      <c r="C26" s="3"/>
      <c r="D26" s="23"/>
    </row>
    <row r="27" spans="2:4" x14ac:dyDescent="0.25">
      <c r="B27" s="2" t="s">
        <v>115</v>
      </c>
      <c r="C27" s="3"/>
      <c r="D27" s="23"/>
    </row>
    <row r="28" spans="2:4" x14ac:dyDescent="0.25">
      <c r="B28" s="1" t="s">
        <v>71</v>
      </c>
      <c r="C28" s="5">
        <f>C29</f>
        <v>60</v>
      </c>
      <c r="D28" s="23"/>
    </row>
    <row r="29" spans="2:4" x14ac:dyDescent="0.25">
      <c r="B29" s="2" t="s">
        <v>72</v>
      </c>
      <c r="C29" s="3">
        <v>60</v>
      </c>
      <c r="D29" s="23"/>
    </row>
    <row r="30" spans="2:4" x14ac:dyDescent="0.25">
      <c r="B30" s="1" t="s">
        <v>14</v>
      </c>
      <c r="C30" s="5">
        <f>C31</f>
        <v>450.88</v>
      </c>
      <c r="D30" s="24"/>
    </row>
    <row r="31" spans="2:4" x14ac:dyDescent="0.25">
      <c r="B31" s="2" t="s">
        <v>15</v>
      </c>
      <c r="C31" s="3">
        <v>450.88</v>
      </c>
      <c r="D31" s="10" t="s">
        <v>117</v>
      </c>
    </row>
    <row r="32" spans="2:4" x14ac:dyDescent="0.25">
      <c r="B32" s="1" t="s">
        <v>16</v>
      </c>
      <c r="C32" s="5">
        <f>C33</f>
        <v>40</v>
      </c>
      <c r="D32" s="22"/>
    </row>
    <row r="33" spans="2:4" x14ac:dyDescent="0.25">
      <c r="B33" s="2" t="s">
        <v>17</v>
      </c>
      <c r="C33" s="3">
        <v>40</v>
      </c>
      <c r="D33" s="23"/>
    </row>
    <row r="34" spans="2:4" x14ac:dyDescent="0.25">
      <c r="B34" s="2" t="s">
        <v>77</v>
      </c>
      <c r="C34" s="3">
        <v>200</v>
      </c>
      <c r="D34" s="23"/>
    </row>
    <row r="35" spans="2:4" x14ac:dyDescent="0.25">
      <c r="B35" s="1" t="s">
        <v>33</v>
      </c>
      <c r="C35" s="5">
        <f>C36</f>
        <v>700</v>
      </c>
      <c r="D35" s="23"/>
    </row>
    <row r="36" spans="2:4" x14ac:dyDescent="0.25">
      <c r="B36" s="2" t="s">
        <v>34</v>
      </c>
      <c r="C36" s="3">
        <v>700</v>
      </c>
      <c r="D36" s="23"/>
    </row>
    <row r="37" spans="2:4" x14ac:dyDescent="0.25">
      <c r="B37" s="1" t="s">
        <v>53</v>
      </c>
      <c r="C37" s="5">
        <f>C38</f>
        <v>1000</v>
      </c>
      <c r="D37" s="23"/>
    </row>
    <row r="38" spans="2:4" x14ac:dyDescent="0.25">
      <c r="B38" s="2" t="s">
        <v>62</v>
      </c>
      <c r="C38" s="3">
        <v>1000</v>
      </c>
      <c r="D38" s="23"/>
    </row>
    <row r="39" spans="2:4" x14ac:dyDescent="0.25">
      <c r="B39" s="1" t="s">
        <v>18</v>
      </c>
      <c r="C39" s="4">
        <f>C3+C6+C8+C20+C28+C30+C32+C35+C37</f>
        <v>29245.02</v>
      </c>
      <c r="D39" s="23"/>
    </row>
    <row r="40" spans="2:4" x14ac:dyDescent="0.25">
      <c r="D40" s="23"/>
    </row>
  </sheetData>
  <mergeCells count="3">
    <mergeCell ref="B2:C2"/>
    <mergeCell ref="D2:D30"/>
    <mergeCell ref="D32:D4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Foglio1</vt:lpstr>
      <vt:lpstr>Foglio2</vt:lpstr>
      <vt:lpstr>Foglio3</vt:lpstr>
      <vt:lpstr>MAGGIO 2026</vt:lpstr>
      <vt:lpstr>GIUGNO 2026</vt:lpstr>
      <vt:lpstr>LUGLIO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cp:lastPrinted>2025-10-02T08:30:22Z</cp:lastPrinted>
  <dcterms:created xsi:type="dcterms:W3CDTF">2015-06-05T18:19:34Z</dcterms:created>
  <dcterms:modified xsi:type="dcterms:W3CDTF">2026-06-30T14:02:41Z</dcterms:modified>
</cp:coreProperties>
</file>