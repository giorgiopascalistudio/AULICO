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Onirico2\03 - AMMINISTRAZIONE\02-ONIRICO DESIGN S.T.P. S.R.L\02-Onirico Design stp srl - STUDIO\CONTABILITA' - ONIRICO DESIGN\06 - NOTULE RIUNIONE - COMMERCIALISTI E CONSULENTI\Interno - Amministrazione e Contabilità\Materiale\"/>
    </mc:Choice>
  </mc:AlternateContent>
  <xr:revisionPtr revIDLastSave="0" documentId="13_ncr:1_{261ECC57-32FC-46C8-8404-22336ADFE4F7}" xr6:coauthVersionLast="47" xr6:coauthVersionMax="47" xr10:uidLastSave="{00000000-0000-0000-0000-000000000000}"/>
  <bookViews>
    <workbookView xWindow="150" yWindow="120" windowWidth="19230" windowHeight="14850" activeTab="1" xr2:uid="{00000000-000D-0000-FFFF-FFFF00000000}"/>
  </bookViews>
  <sheets>
    <sheet name="2025" sheetId="1" r:id="rId1"/>
    <sheet name="2026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" i="2" l="1"/>
  <c r="D22" i="1" l="1"/>
  <c r="N10" i="1" l="1"/>
  <c r="J20" i="2" l="1"/>
  <c r="J21" i="2" s="1"/>
  <c r="M10" i="1" l="1"/>
  <c r="D25" i="1" l="1"/>
  <c r="D24" i="1"/>
  <c r="D23" i="1"/>
  <c r="E14" i="1"/>
  <c r="F14" i="1" s="1"/>
  <c r="E13" i="1"/>
  <c r="F13" i="1" s="1"/>
  <c r="E12" i="1"/>
  <c r="E11" i="1"/>
  <c r="F11" i="1" l="1"/>
  <c r="E4" i="1"/>
  <c r="F4" i="1" s="1"/>
  <c r="F12" i="1"/>
  <c r="E7" i="1"/>
  <c r="F7" i="1" s="1"/>
  <c r="E6" i="1"/>
  <c r="F6" i="1" s="1"/>
  <c r="E5" i="1"/>
  <c r="F5" i="1" s="1"/>
  <c r="H11" i="1" l="1"/>
  <c r="E22" i="1"/>
  <c r="H14" i="1"/>
  <c r="H12" i="1"/>
  <c r="H13" i="1"/>
</calcChain>
</file>

<file path=xl/sharedStrings.xml><?xml version="1.0" encoding="utf-8"?>
<sst xmlns="http://schemas.openxmlformats.org/spreadsheetml/2006/main" count="72" uniqueCount="41">
  <si>
    <t>AREA MARKETING</t>
  </si>
  <si>
    <t>AREA PRODUZIONE</t>
  </si>
  <si>
    <t>AREA AMMINISTRATIVA</t>
  </si>
  <si>
    <t>AREA PRODUZIONE ESTERNA</t>
  </si>
  <si>
    <t>MEDIA MENSILE</t>
  </si>
  <si>
    <t>AREA</t>
  </si>
  <si>
    <t>2025 (Base)</t>
  </si>
  <si>
    <t>Budget di Mantenimento</t>
  </si>
  <si>
    <t>Riduzione (−10%)</t>
  </si>
  <si>
    <t>Crescita (+15%)</t>
  </si>
  <si>
    <t>Amministrativa</t>
  </si>
  <si>
    <t>Marketing</t>
  </si>
  <si>
    <t>Produzione</t>
  </si>
  <si>
    <t>Produzione Esterna</t>
  </si>
  <si>
    <t>31/10/2025</t>
  </si>
  <si>
    <t>AREE</t>
  </si>
  <si>
    <t xml:space="preserve">TOTALE </t>
  </si>
  <si>
    <t xml:space="preserve">AMMINISTRATORE </t>
  </si>
  <si>
    <t>AMMINISTRAZIONE</t>
  </si>
  <si>
    <t>MARKETING</t>
  </si>
  <si>
    <t>RISORSE UMANE</t>
  </si>
  <si>
    <t>PRODUZIONE</t>
  </si>
  <si>
    <t>ESTERNI</t>
  </si>
  <si>
    <t>FORMAZIONE</t>
  </si>
  <si>
    <t>IMPOSTE E CONTR</t>
  </si>
  <si>
    <t>COSTI VARIABILI</t>
  </si>
  <si>
    <t>BUDGET PER IL 2026</t>
  </si>
  <si>
    <t>AREA DIREZIONE</t>
  </si>
  <si>
    <t>AREA HR</t>
  </si>
  <si>
    <t>AREA FORMAZIONE</t>
  </si>
  <si>
    <t>SOFTWARE E STRUM. LAVORO</t>
  </si>
  <si>
    <t>AREA SOFTW E STRUM LAVORO</t>
  </si>
  <si>
    <t>IMPOSTE E CONTRIBUTI</t>
  </si>
  <si>
    <t>INARCASSA</t>
  </si>
  <si>
    <t>NUOVE SOCIETA'</t>
  </si>
  <si>
    <t>FATTURATO 2026</t>
  </si>
  <si>
    <t>UTILE 2026</t>
  </si>
  <si>
    <t>BUDGET AL 01/01/2025</t>
  </si>
  <si>
    <t>COSTI AL 31/12/2025</t>
  </si>
  <si>
    <t>BUDGET AL 31/12/2026</t>
  </si>
  <si>
    <t>COSTI AL 31/05/2026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</si>
</sst>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[$€-2]\ #,##0.00;[Red]\-[$€-2]\ #,##0.00"/>
    <numFmt numFmtId="165" formatCode="[$€-410]\ #,##0.00;[Red]\-[$€-410]\ #,##0.00"/>
    <numFmt numFmtId="166" formatCode="#,##0.00\ [$€-410];[Red]\-#,##0.00\ [$€-410]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8"/>
      <name val="Calibri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10"/>
      <color theme="0"/>
      <name val="Century Gothic"/>
      <family val="2"/>
    </font>
    <font>
      <b/>
      <sz val="12"/>
      <color theme="0"/>
      <name val="Century Gothic"/>
      <family val="2"/>
    </font>
    <font>
      <b/>
      <i/>
      <sz val="12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2">
    <xf numFmtId="0" fontId="0" fillId="0" borderId="0"/>
    <xf numFmtId="0" fontId="2" fillId="0" borderId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14" fontId="0" fillId="0" borderId="0" xfId="0" applyNumberFormat="1" applyAlignment="1">
      <alignment horizontal="center"/>
    </xf>
    <xf numFmtId="44" fontId="0" fillId="0" borderId="0" xfId="0" applyNumberFormat="1"/>
    <xf numFmtId="164" fontId="4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0" fontId="0" fillId="0" borderId="1" xfId="0" applyBorder="1"/>
    <xf numFmtId="0" fontId="7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44" fontId="8" fillId="0" borderId="6" xfId="10" applyFont="1" applyBorder="1"/>
    <xf numFmtId="44" fontId="8" fillId="0" borderId="4" xfId="0" applyNumberFormat="1" applyFont="1" applyBorder="1"/>
    <xf numFmtId="44" fontId="8" fillId="0" borderId="3" xfId="0" applyNumberFormat="1" applyFont="1" applyBorder="1"/>
    <xf numFmtId="44" fontId="8" fillId="0" borderId="7" xfId="10" applyFont="1" applyBorder="1"/>
    <xf numFmtId="44" fontId="7" fillId="0" borderId="5" xfId="0" applyNumberFormat="1" applyFont="1" applyBorder="1"/>
    <xf numFmtId="44" fontId="7" fillId="0" borderId="2" xfId="0" applyNumberFormat="1" applyFont="1" applyBorder="1"/>
    <xf numFmtId="0" fontId="9" fillId="4" borderId="1" xfId="0" applyFont="1" applyFill="1" applyBorder="1" applyAlignment="1">
      <alignment horizontal="center"/>
    </xf>
    <xf numFmtId="44" fontId="8" fillId="0" borderId="8" xfId="10" applyFont="1" applyBorder="1"/>
    <xf numFmtId="44" fontId="7" fillId="0" borderId="1" xfId="0" applyNumberFormat="1" applyFont="1" applyBorder="1"/>
    <xf numFmtId="0" fontId="10" fillId="6" borderId="1" xfId="0" applyFont="1" applyFill="1" applyBorder="1" applyAlignment="1">
      <alignment horizontal="center" vertical="center"/>
    </xf>
    <xf numFmtId="165" fontId="11" fillId="7" borderId="1" xfId="0" applyNumberFormat="1" applyFont="1" applyFill="1" applyBorder="1" applyAlignment="1">
      <alignment horizontal="right" vertical="center"/>
    </xf>
    <xf numFmtId="44" fontId="0" fillId="0" borderId="0" xfId="9" applyFont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/>
    <xf numFmtId="44" fontId="12" fillId="0" borderId="0" xfId="9" applyFont="1"/>
    <xf numFmtId="44" fontId="13" fillId="0" borderId="0" xfId="0" applyNumberFormat="1" applyFont="1"/>
    <xf numFmtId="44" fontId="7" fillId="5" borderId="1" xfId="0" applyNumberFormat="1" applyFont="1" applyFill="1" applyBorder="1"/>
    <xf numFmtId="0" fontId="9" fillId="4" borderId="1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44" fontId="8" fillId="5" borderId="1" xfId="10" applyFont="1" applyFill="1" applyBorder="1"/>
    <xf numFmtId="44" fontId="8" fillId="0" borderId="1" xfId="10" applyFont="1" applyFill="1" applyBorder="1"/>
    <xf numFmtId="44" fontId="8" fillId="5" borderId="11" xfId="10" applyFont="1" applyFill="1" applyBorder="1"/>
    <xf numFmtId="44" fontId="8" fillId="0" borderId="11" xfId="10" applyFont="1" applyFill="1" applyBorder="1"/>
    <xf numFmtId="44" fontId="7" fillId="5" borderId="12" xfId="0" applyNumberFormat="1" applyFont="1" applyFill="1" applyBorder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4" fontId="7" fillId="0" borderId="0" xfId="0" applyNumberFormat="1" applyFont="1"/>
    <xf numFmtId="44" fontId="8" fillId="0" borderId="0" xfId="10" applyFont="1" applyFill="1" applyBorder="1"/>
    <xf numFmtId="9" fontId="0" fillId="0" borderId="0" xfId="11" applyFont="1"/>
    <xf numFmtId="165" fontId="8" fillId="0" borderId="11" xfId="10" applyNumberFormat="1" applyFont="1" applyFill="1" applyBorder="1"/>
  </cellXfs>
  <cellStyles count="12">
    <cellStyle name="Migliaia 2" xfId="8" xr:uid="{00000000-0005-0000-0000-000000000000}"/>
    <cellStyle name="Migliaia 3" xfId="3" xr:uid="{00000000-0005-0000-0000-000001000000}"/>
    <cellStyle name="Normale" xfId="0" builtinId="0"/>
    <cellStyle name="Normale 2" xfId="2" xr:uid="{00000000-0005-0000-0000-000003000000}"/>
    <cellStyle name="Normale 3" xfId="5" xr:uid="{00000000-0005-0000-0000-000004000000}"/>
    <cellStyle name="Normale 4" xfId="1" xr:uid="{00000000-0005-0000-0000-000005000000}"/>
    <cellStyle name="Percentuale" xfId="11" builtinId="5"/>
    <cellStyle name="Percentuale 2" xfId="7" xr:uid="{00000000-0005-0000-0000-000007000000}"/>
    <cellStyle name="Percentuale 3" xfId="4" xr:uid="{00000000-0005-0000-0000-000008000000}"/>
    <cellStyle name="Valuta" xfId="10" builtinId="4"/>
    <cellStyle name="Valuta 2" xfId="6" xr:uid="{00000000-0005-0000-0000-00000A000000}"/>
    <cellStyle name="Valuta 3" xfId="9" xr:uid="{00000000-0005-0000-0000-00000B000000}"/>
  </cellStyles>
  <dxfs count="27">
    <dxf>
      <font>
        <strike val="0"/>
        <outline val="0"/>
        <shadow val="0"/>
        <u val="none"/>
        <vertAlign val="baseline"/>
        <sz val="10"/>
        <color theme="1"/>
        <name val="Century Gothic"/>
        <scheme val="none"/>
      </font>
      <numFmt numFmtId="34" formatCode="_-* #,##0.00\ &quot;€&quot;_-;\-* #,##0.00\ &quot;€&quot;_-;_-* &quot;-&quot;??\ &quot;€&quot;_-;_-@_-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entury Gothic"/>
        <scheme val="none"/>
      </font>
      <numFmt numFmtId="34" formatCode="_-* #,##0.00\ &quot;€&quot;_-;\-* #,##0.00\ &quot;€&quot;_-;_-* &quot;-&quot;??\ &quot;€&quot;_-;_-@_-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4" formatCode="[$€-2]\ #,##0.00;[Red]\-[$€-2]\ #,##0.0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4" formatCode="[$€-2]\ #,##0.00;[Red]\-[$€-2]\ #,##0.0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4" formatCode="[$€-2]\ #,##0.00;[Red]\-[$€-2]\ #,##0.0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4" formatCode="[$€-2]\ #,##0.00;[Red]\-[$€-2]\ #,##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4" formatCode="[$€-2]\ #,##0.00;[Red]\-[$€-2]\ #,##0.0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4" formatCode="[$€-2]\ #,##0.00;[Red]\-[$€-2]\ #,##0.0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entury Gothic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indexed="65"/>
        </patternFill>
      </fill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* #,##0.00\ &quot;€&quot;_-;\-* #,##0.00\ &quot;€&quot;_-;_-* &quot;-&quot;??\ &quot;€&quot;_-;_-@_-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</dxfs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BUDGET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'2025'!$M$5</c:f>
              <c:strCache>
                <c:ptCount val="1"/>
                <c:pt idx="0">
                  <c:v>BUDGET AL 01/01/2025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'2025'!$L$6:$L$10</c15:sqref>
                  </c15:fullRef>
                </c:ext>
              </c:extLst>
              <c:f>'2025'!$L$6:$L$9</c:f>
              <c:strCache>
                <c:ptCount val="4"/>
                <c:pt idx="0">
                  <c:v> AREA AMMINISTRATIVA </c:v>
                </c:pt>
                <c:pt idx="1">
                  <c:v> AREA MARKETING </c:v>
                </c:pt>
                <c:pt idx="2">
                  <c:v> AREA PRODUZIONE </c:v>
                </c:pt>
                <c:pt idx="3">
                  <c:v> AREA PRODUZIONE ESTERNA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'2025'!$M$6:$M$10</c15:sqref>
                  </c15:fullRef>
                </c:ext>
              </c:extLst>
              <c:f>'2025'!$M$6:$M$9</c:f>
              <c:numCache>
                <c:formatCode>_("€"* #,##0.00_);_("€"* \(#,##0.00\);_("€"* "-"??_);_(@_)</c:formatCode>
                <c:ptCount val="4"/>
                <c:pt idx="0">
                  <c:v>25000</c:v>
                </c:pt>
                <c:pt idx="1">
                  <c:v>25000</c:v>
                </c:pt>
                <c:pt idx="2">
                  <c:v>110000</c:v>
                </c:pt>
                <c:pt idx="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1-4CBE-9AD9-FE69AB299E5F}"/>
            </c:ext>
          </c:extLst>
        </c:ser>
        <c:ser>
          <c:idx val="1"/>
          <c:order val="1"/>
          <c:tx>
            <c:strRef>
              <c:f>'2025'!$N$5</c:f>
              <c:strCache>
                <c:ptCount val="1"/>
                <c:pt idx="0">
                  <c:v>COSTI AL 31/12/2025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'2025'!$L$6:$L$10</c15:sqref>
                  </c15:fullRef>
                </c:ext>
              </c:extLst>
              <c:f>'2025'!$L$6:$L$9</c:f>
              <c:strCache>
                <c:ptCount val="4"/>
                <c:pt idx="0">
                  <c:v> AREA AMMINISTRATIVA </c:v>
                </c:pt>
                <c:pt idx="1">
                  <c:v> AREA MARKETING </c:v>
                </c:pt>
                <c:pt idx="2">
                  <c:v> AREA PRODUZIONE </c:v>
                </c:pt>
                <c:pt idx="3">
                  <c:v> AREA PRODUZIONE ESTERNA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'2025'!$N$6:$N$10</c15:sqref>
                  </c15:fullRef>
                </c:ext>
              </c:extLst>
              <c:f>'2025'!$N$6:$N$9</c:f>
              <c:numCache>
                <c:formatCode>_("€"* #,##0.00_);_("€"* \(#,##0.00\);_("€"* "-"??_);_(@_)</c:formatCode>
                <c:ptCount val="4"/>
                <c:pt idx="0">
                  <c:v>41429.9</c:v>
                </c:pt>
                <c:pt idx="1">
                  <c:v>29618.2</c:v>
                </c:pt>
                <c:pt idx="2">
                  <c:v>130445</c:v>
                </c:pt>
                <c:pt idx="3">
                  <c:v>18280.650000000001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61-4CBE-9AD9-FE69AB299E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9933056"/>
        <c:axId val="149938944"/>
      </c:barChart>
      <c:catAx>
        <c:axId val="14993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9938944"/>
        <c:crosses val="autoZero"/>
        <c:auto val="1"/>
        <c:lblAlgn val="ctr"/>
        <c:lblOffset val="100"/>
        <c:noMultiLvlLbl val="0"/>
      </c:catAx>
      <c:valAx>
        <c:axId val="149938944"/>
        <c:scaling>
          <c:orientation val="minMax"/>
        </c:scaling>
        <c:delete val="1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crossAx val="14993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566332309236536"/>
          <c:y val="5.4944998738948161E-2"/>
          <c:w val="0.62867335381526923"/>
          <c:h val="3.77987502358960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BUDGET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'2026'!$C$28</c:f>
              <c:strCache>
                <c:ptCount val="1"/>
                <c:pt idx="0">
                  <c:v>COSTI AL 31/05/2026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'2026'!$B$29:$B$40</c:f>
              <c:strCache>
                <c:ptCount val="12"/>
                <c:pt idx="0">
                  <c:v> AREA DIREZIONE </c:v>
                </c:pt>
                <c:pt idx="1">
                  <c:v> AREA AMMINISTRATIVA </c:v>
                </c:pt>
                <c:pt idx="2">
                  <c:v> AREA MARKETING </c:v>
                </c:pt>
                <c:pt idx="3">
                  <c:v> AREA HR </c:v>
                </c:pt>
                <c:pt idx="4">
                  <c:v> AREA PRODUZIONE </c:v>
                </c:pt>
                <c:pt idx="5">
                  <c:v> AREA PRODUZIONE ESTERNA </c:v>
                </c:pt>
                <c:pt idx="6">
                  <c:v> AREA FORMAZIONE </c:v>
                </c:pt>
                <c:pt idx="7">
                  <c:v> AREA SOFTW E STRUM LAVORO </c:v>
                </c:pt>
                <c:pt idx="8">
                  <c:v> IMPOSTE E CONTRIBUTI </c:v>
                </c:pt>
                <c:pt idx="9">
                  <c:v> COSTI VARIABILI </c:v>
                </c:pt>
                <c:pt idx="10">
                  <c:v> INARCASSA </c:v>
                </c:pt>
                <c:pt idx="11">
                  <c:v> NUOVE SOCIETA' </c:v>
                </c:pt>
              </c:strCache>
            </c:strRef>
          </c:cat>
          <c:val>
            <c:numRef>
              <c:f>'2026'!$C$29:$C$40</c:f>
              <c:numCache>
                <c:formatCode>_("€"* #,##0.00_);_("€"* \(#,##0.00\);_("€"* "-"??_);_(@_)</c:formatCode>
                <c:ptCount val="12"/>
                <c:pt idx="0">
                  <c:v>18100.990000000002</c:v>
                </c:pt>
                <c:pt idx="1">
                  <c:v>14782.73</c:v>
                </c:pt>
                <c:pt idx="2">
                  <c:v>8326.89</c:v>
                </c:pt>
                <c:pt idx="3">
                  <c:v>9913.42</c:v>
                </c:pt>
                <c:pt idx="4">
                  <c:v>28150</c:v>
                </c:pt>
                <c:pt idx="5">
                  <c:v>0</c:v>
                </c:pt>
                <c:pt idx="6">
                  <c:v>25052.3</c:v>
                </c:pt>
                <c:pt idx="7">
                  <c:v>3864.52</c:v>
                </c:pt>
                <c:pt idx="8">
                  <c:v>5228.28</c:v>
                </c:pt>
                <c:pt idx="9">
                  <c:v>24357.96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6-45AA-8F3A-F645B8894644}"/>
            </c:ext>
          </c:extLst>
        </c:ser>
        <c:ser>
          <c:idx val="1"/>
          <c:order val="1"/>
          <c:tx>
            <c:strRef>
              <c:f>'2026'!$D$28</c:f>
              <c:strCache>
                <c:ptCount val="1"/>
                <c:pt idx="0">
                  <c:v>BUDGET AL 31/12/2026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'2026'!$B$29:$B$40</c:f>
              <c:strCache>
                <c:ptCount val="12"/>
                <c:pt idx="0">
                  <c:v> AREA DIREZIONE </c:v>
                </c:pt>
                <c:pt idx="1">
                  <c:v> AREA AMMINISTRATIVA </c:v>
                </c:pt>
                <c:pt idx="2">
                  <c:v> AREA MARKETING </c:v>
                </c:pt>
                <c:pt idx="3">
                  <c:v> AREA HR </c:v>
                </c:pt>
                <c:pt idx="4">
                  <c:v> AREA PRODUZIONE </c:v>
                </c:pt>
                <c:pt idx="5">
                  <c:v> AREA PRODUZIONE ESTERNA </c:v>
                </c:pt>
                <c:pt idx="6">
                  <c:v> AREA FORMAZIONE </c:v>
                </c:pt>
                <c:pt idx="7">
                  <c:v> AREA SOFTW E STRUM LAVORO </c:v>
                </c:pt>
                <c:pt idx="8">
                  <c:v> IMPOSTE E CONTRIBUTI </c:v>
                </c:pt>
                <c:pt idx="9">
                  <c:v> COSTI VARIABILI </c:v>
                </c:pt>
                <c:pt idx="10">
                  <c:v> INARCASSA </c:v>
                </c:pt>
                <c:pt idx="11">
                  <c:v> NUOVE SOCIETA' </c:v>
                </c:pt>
              </c:strCache>
            </c:strRef>
          </c:cat>
          <c:val>
            <c:numRef>
              <c:f>'2026'!$D$29:$D$40</c:f>
              <c:numCache>
                <c:formatCode>[$€-410]\ #,##0.00;[Red]\-[$€-410]\ #,##0.00</c:formatCode>
                <c:ptCount val="12"/>
                <c:pt idx="0" formatCode="_(&quot;€&quot;* #,##0.00_);_(&quot;€&quot;* \(#,##0.00\);_(&quot;€&quot;* &quot;-&quot;??_);_(@_)">
                  <c:v>80000</c:v>
                </c:pt>
                <c:pt idx="1">
                  <c:v>50000</c:v>
                </c:pt>
                <c:pt idx="2" formatCode="_(&quot;€&quot;* #,##0.00_);_(&quot;€&quot;* \(#,##0.00\);_(&quot;€&quot;* &quot;-&quot;??_);_(@_)">
                  <c:v>40000</c:v>
                </c:pt>
                <c:pt idx="3" formatCode="_(&quot;€&quot;* #,##0.00_);_(&quot;€&quot;* \(#,##0.00\);_(&quot;€&quot;* &quot;-&quot;??_);_(@_)">
                  <c:v>7500</c:v>
                </c:pt>
                <c:pt idx="4" formatCode="_(&quot;€&quot;* #,##0.00_);_(&quot;€&quot;* \(#,##0.00\);_(&quot;€&quot;* &quot;-&quot;??_);_(@_)">
                  <c:v>150000</c:v>
                </c:pt>
                <c:pt idx="5" formatCode="_(&quot;€&quot;* #,##0.00_);_(&quot;€&quot;* \(#,##0.00\);_(&quot;€&quot;* &quot;-&quot;??_);_(@_)">
                  <c:v>7000</c:v>
                </c:pt>
                <c:pt idx="6" formatCode="_(&quot;€&quot;* #,##0.00_);_(&quot;€&quot;* \(#,##0.00\);_(&quot;€&quot;* &quot;-&quot;??_);_(@_)">
                  <c:v>30000</c:v>
                </c:pt>
                <c:pt idx="7" formatCode="_(&quot;€&quot;* #,##0.00_);_(&quot;€&quot;* \(#,##0.00\);_(&quot;€&quot;* &quot;-&quot;??_);_(@_)">
                  <c:v>60000</c:v>
                </c:pt>
                <c:pt idx="8" formatCode="_(&quot;€&quot;* #,##0.00_);_(&quot;€&quot;* \(#,##0.00\);_(&quot;€&quot;* &quot;-&quot;??_);_(@_)">
                  <c:v>80000</c:v>
                </c:pt>
                <c:pt idx="9" formatCode="_(&quot;€&quot;* #,##0.00_);_(&quot;€&quot;* \(#,##0.00\);_(&quot;€&quot;* &quot;-&quot;??_);_(@_)">
                  <c:v>60000</c:v>
                </c:pt>
                <c:pt idx="10" formatCode="_(&quot;€&quot;* #,##0.00_);_(&quot;€&quot;* \(#,##0.00\);_(&quot;€&quot;* &quot;-&quot;??_);_(@_)">
                  <c:v>37000</c:v>
                </c:pt>
                <c:pt idx="11" formatCode="_(&quot;€&quot;* #,##0.00_);_(&quot;€&quot;* \(#,##0.00\);_(&quot;€&quot;* &quot;-&quot;??_);_(@_)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D6-45AA-8F3A-F645B88946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9933056"/>
        <c:axId val="149938944"/>
      </c:barChart>
      <c:catAx>
        <c:axId val="14993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9938944"/>
        <c:crosses val="autoZero"/>
        <c:auto val="1"/>
        <c:lblAlgn val="ctr"/>
        <c:lblOffset val="100"/>
        <c:noMultiLvlLbl val="0"/>
      </c:catAx>
      <c:valAx>
        <c:axId val="149938944"/>
        <c:scaling>
          <c:orientation val="minMax"/>
        </c:scaling>
        <c:delete val="1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crossAx val="14993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566332309236536"/>
          <c:y val="5.4944998738948161E-2"/>
          <c:w val="0.62867335381526923"/>
          <c:h val="3.77987502358960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11</xdr:row>
      <xdr:rowOff>40151</xdr:rowOff>
    </xdr:from>
    <xdr:to>
      <xdr:col>14</xdr:col>
      <xdr:colOff>0</xdr:colOff>
      <xdr:row>39</xdr:row>
      <xdr:rowOff>118846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E1217DE6-54D8-4048-8E69-7B005E23C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23</xdr:row>
      <xdr:rowOff>114301</xdr:rowOff>
    </xdr:from>
    <xdr:to>
      <xdr:col>13</xdr:col>
      <xdr:colOff>238126</xdr:colOff>
      <xdr:row>52</xdr:row>
      <xdr:rowOff>12020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513B87B-3D3F-421B-A9E9-82DA35EE1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C21:H25" totalsRowShown="0" headerRowDxfId="15" dataDxfId="14">
  <tableColumns count="6">
    <tableColumn id="1" xr3:uid="{00000000-0010-0000-0000-000001000000}" name="AREA" dataDxfId="13"/>
    <tableColumn id="6" xr3:uid="{00000000-0010-0000-0000-000006000000}" name="31/10/2025" dataDxfId="12">
      <calculatedColumnFormula>D11</calculatedColumnFormula>
    </tableColumn>
    <tableColumn id="2" xr3:uid="{00000000-0010-0000-0000-000002000000}" name="2025 (Base)" dataDxfId="11"/>
    <tableColumn id="3" xr3:uid="{00000000-0010-0000-0000-000003000000}" name="Budget di Mantenimento" dataDxfId="10"/>
    <tableColumn id="4" xr3:uid="{00000000-0010-0000-0000-000004000000}" name="Riduzione (−10%)" dataDxfId="9"/>
    <tableColumn id="5" xr3:uid="{00000000-0010-0000-0000-000005000000}" name="Crescita (+15%)" dataDxfId="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la3" displayName="Tabella3" ref="L5:N10" totalsRowShown="0" headerRowDxfId="7" dataDxfId="5" headerRowBorderDxfId="6" tableBorderDxfId="4" totalsRowBorderDxfId="3">
  <autoFilter ref="L5:N10" xr:uid="{00000000-0009-0000-0100-000003000000}">
    <filterColumn colId="0" hiddenButton="1"/>
    <filterColumn colId="1" hiddenButton="1"/>
    <filterColumn colId="2" hiddenButton="1"/>
  </autoFilter>
  <tableColumns count="3">
    <tableColumn id="1" xr3:uid="{00000000-0010-0000-0100-000001000000}" name="AREE" dataDxfId="2"/>
    <tableColumn id="2" xr3:uid="{00000000-0010-0000-0100-000002000000}" name="BUDGET AL 01/01/2025" dataDxfId="1" dataCellStyle="Valuta"/>
    <tableColumn id="3" xr3:uid="{00000000-0010-0000-0100-000003000000}" name="COSTI AL 31/12/2025" dataDxfId="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ella2" displayName="Tabella2" ref="I4:J16" totalsRowShown="0" headerRowBorderDxfId="26" tableBorderDxfId="25">
  <autoFilter ref="I4:J16" xr:uid="{00000000-0009-0000-0100-000002000000}">
    <filterColumn colId="0" hiddenButton="1"/>
    <filterColumn colId="1" hiddenButton="1"/>
  </autoFilter>
  <tableColumns count="2">
    <tableColumn id="1" xr3:uid="{00000000-0010-0000-0200-000001000000}" name="AREE" dataDxfId="24"/>
    <tableColumn id="2" xr3:uid="{00000000-0010-0000-0200-000002000000}" name="BUDGET PER IL 202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1EF627-BDAE-431B-9C0C-C1C1CF2AFAB3}" name="Tabella35" displayName="Tabella35" ref="B28:D40" totalsRowShown="0" headerRowDxfId="23" dataDxfId="21" headerRowBorderDxfId="22" tableBorderDxfId="20" totalsRowBorderDxfId="19">
  <autoFilter ref="B28:D40" xr:uid="{AA330D98-481A-48D1-B209-32C352E12ACF}"/>
  <tableColumns count="3">
    <tableColumn id="1" xr3:uid="{A6FFA224-DB15-4437-AB6B-7E7F464F8771}" name="AREE" dataDxfId="18"/>
    <tableColumn id="2" xr3:uid="{583C38C4-51CE-4EF2-BE08-EA58D83F7003}" name="COSTI AL 31/05/2026" dataDxfId="17" dataCellStyle="Valuta"/>
    <tableColumn id="3" xr3:uid="{5911242B-DDF0-4770-87E0-E21C87D702D4}" name="BUDGET AL 31/12/2026" dataDxfId="16" dataCellStyle="Valut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O25"/>
  <sheetViews>
    <sheetView topLeftCell="C1" workbookViewId="0">
      <selection activeCell="L5" sqref="L5:N10"/>
    </sheetView>
  </sheetViews>
  <sheetFormatPr defaultRowHeight="15" x14ac:dyDescent="0.25"/>
  <cols>
    <col min="3" max="3" width="28.140625" bestFit="1" customWidth="1"/>
    <col min="4" max="8" width="16.7109375" customWidth="1"/>
    <col min="9" max="10" width="12" bestFit="1" customWidth="1"/>
    <col min="11" max="11" width="13.140625" bestFit="1" customWidth="1"/>
    <col min="12" max="12" width="28.140625" bestFit="1" customWidth="1"/>
    <col min="13" max="13" width="23.140625" customWidth="1"/>
    <col min="14" max="14" width="21" customWidth="1"/>
    <col min="15" max="15" width="12" bestFit="1" customWidth="1"/>
  </cols>
  <sheetData>
    <row r="3" spans="3:15" x14ac:dyDescent="0.25">
      <c r="C3" s="1"/>
      <c r="D3" s="1">
        <v>45657</v>
      </c>
      <c r="E3" s="1" t="s">
        <v>4</v>
      </c>
      <c r="F3" s="1">
        <v>45657</v>
      </c>
      <c r="G3" s="1"/>
      <c r="H3" s="1"/>
    </row>
    <row r="4" spans="3:15" ht="15.75" thickBot="1" x14ac:dyDescent="0.3">
      <c r="C4" s="2" t="s">
        <v>2</v>
      </c>
      <c r="D4" s="2">
        <v>54574.05999999999</v>
      </c>
      <c r="E4" s="2">
        <f>D4/12</f>
        <v>4547.8383333333322</v>
      </c>
      <c r="F4" s="2">
        <f>E4*12</f>
        <v>54574.059999999983</v>
      </c>
      <c r="G4" s="2"/>
      <c r="H4" s="2"/>
    </row>
    <row r="5" spans="3:15" ht="15.75" thickBot="1" x14ac:dyDescent="0.3">
      <c r="C5" s="2" t="s">
        <v>0</v>
      </c>
      <c r="D5" s="2">
        <v>24934.410000000003</v>
      </c>
      <c r="E5" s="2">
        <f>D5/12</f>
        <v>2077.8675000000003</v>
      </c>
      <c r="F5" s="2">
        <f t="shared" ref="F5:F7" si="0">E5*12</f>
        <v>24934.410000000003</v>
      </c>
      <c r="G5" s="2"/>
      <c r="H5" s="2"/>
      <c r="L5" s="15" t="s">
        <v>15</v>
      </c>
      <c r="M5" s="7" t="s">
        <v>37</v>
      </c>
      <c r="N5" s="8" t="s">
        <v>38</v>
      </c>
    </row>
    <row r="6" spans="3:15" ht="15.75" thickBot="1" x14ac:dyDescent="0.3">
      <c r="C6" s="2" t="s">
        <v>1</v>
      </c>
      <c r="D6" s="2">
        <v>100348</v>
      </c>
      <c r="E6" s="2">
        <f>D6/12</f>
        <v>8362.3333333333339</v>
      </c>
      <c r="F6" s="2">
        <f t="shared" si="0"/>
        <v>100348</v>
      </c>
      <c r="G6" s="2"/>
      <c r="H6" s="2"/>
      <c r="L6" s="13" t="s">
        <v>2</v>
      </c>
      <c r="M6" s="9">
        <v>25000</v>
      </c>
      <c r="N6" s="10">
        <v>41429.9</v>
      </c>
    </row>
    <row r="7" spans="3:15" ht="15.75" thickBot="1" x14ac:dyDescent="0.3">
      <c r="C7" s="2" t="s">
        <v>3</v>
      </c>
      <c r="D7" s="2">
        <v>4647</v>
      </c>
      <c r="E7" s="2">
        <f>D7/12</f>
        <v>387.25</v>
      </c>
      <c r="F7" s="2">
        <f t="shared" si="0"/>
        <v>4647</v>
      </c>
      <c r="G7" s="2"/>
      <c r="H7" s="2"/>
      <c r="L7" s="13" t="s">
        <v>0</v>
      </c>
      <c r="M7" s="9">
        <v>25000</v>
      </c>
      <c r="N7" s="10">
        <v>29618.2</v>
      </c>
      <c r="O7" s="2"/>
    </row>
    <row r="8" spans="3:15" ht="15.75" thickBot="1" x14ac:dyDescent="0.3">
      <c r="L8" s="14" t="s">
        <v>1</v>
      </c>
      <c r="M8" s="9">
        <v>110000</v>
      </c>
      <c r="N8" s="11">
        <v>130445</v>
      </c>
    </row>
    <row r="9" spans="3:15" ht="15.75" thickBot="1" x14ac:dyDescent="0.3">
      <c r="L9" s="13" t="s">
        <v>3</v>
      </c>
      <c r="M9" s="9">
        <v>5000</v>
      </c>
      <c r="N9" s="10">
        <v>18280.650000000001</v>
      </c>
    </row>
    <row r="10" spans="3:15" ht="15.75" thickBot="1" x14ac:dyDescent="0.3">
      <c r="C10" s="1"/>
      <c r="D10" s="1">
        <v>46022</v>
      </c>
      <c r="E10" s="1" t="s">
        <v>4</v>
      </c>
      <c r="F10" s="1">
        <v>46022</v>
      </c>
      <c r="G10" s="1"/>
      <c r="H10" s="1"/>
      <c r="L10" s="17" t="s">
        <v>16</v>
      </c>
      <c r="M10" s="16">
        <f>SUBTOTAL(109,M6:M9)</f>
        <v>165000</v>
      </c>
      <c r="N10" s="12">
        <f>SUBTOTAL(109,N6:N9)</f>
        <v>219773.75</v>
      </c>
    </row>
    <row r="11" spans="3:15" x14ac:dyDescent="0.25">
      <c r="C11" s="2" t="s">
        <v>2</v>
      </c>
      <c r="D11" s="2">
        <v>41429.9</v>
      </c>
      <c r="E11" s="2">
        <f>D11/10</f>
        <v>4142.99</v>
      </c>
      <c r="F11" s="2">
        <f>E11*12</f>
        <v>49715.88</v>
      </c>
      <c r="G11" s="2"/>
      <c r="H11" s="2">
        <f>F11-F4</f>
        <v>-4858.1799999999857</v>
      </c>
    </row>
    <row r="12" spans="3:15" x14ac:dyDescent="0.25">
      <c r="C12" s="2" t="s">
        <v>0</v>
      </c>
      <c r="D12" s="2">
        <v>29618.2</v>
      </c>
      <c r="E12" s="2">
        <f>D12/10</f>
        <v>2961.82</v>
      </c>
      <c r="F12" s="2">
        <f t="shared" ref="F12" si="1">E12*12</f>
        <v>35541.840000000004</v>
      </c>
      <c r="G12" s="2"/>
      <c r="H12" s="2">
        <f>F12-F5</f>
        <v>10607.43</v>
      </c>
    </row>
    <row r="13" spans="3:15" x14ac:dyDescent="0.25">
      <c r="C13" s="2" t="s">
        <v>1</v>
      </c>
      <c r="D13" s="2">
        <v>130445</v>
      </c>
      <c r="E13" s="2">
        <f>D13/10</f>
        <v>13044.5</v>
      </c>
      <c r="F13" s="2">
        <f>E13*12</f>
        <v>156534</v>
      </c>
      <c r="G13" s="2"/>
      <c r="H13" s="2">
        <f>F13-F6</f>
        <v>56186</v>
      </c>
    </row>
    <row r="14" spans="3:15" x14ac:dyDescent="0.25">
      <c r="C14" s="2" t="s">
        <v>3</v>
      </c>
      <c r="D14" s="2">
        <v>12280.65</v>
      </c>
      <c r="E14" s="2">
        <f>D14/10</f>
        <v>1228.0650000000001</v>
      </c>
      <c r="F14" s="2">
        <f>E14*12</f>
        <v>14736.78</v>
      </c>
      <c r="G14" s="2"/>
      <c r="H14" s="2">
        <f>F14-F7</f>
        <v>10089.780000000001</v>
      </c>
    </row>
    <row r="16" spans="3:15" ht="15.75" thickBot="1" x14ac:dyDescent="0.3"/>
    <row r="17" spans="3:13" ht="15.75" thickBot="1" x14ac:dyDescent="0.3">
      <c r="M17" s="6"/>
    </row>
    <row r="21" spans="3:13" ht="28.5" x14ac:dyDescent="0.25">
      <c r="C21" s="4" t="s">
        <v>5</v>
      </c>
      <c r="D21" s="5" t="s">
        <v>14</v>
      </c>
      <c r="E21" s="4" t="s">
        <v>6</v>
      </c>
      <c r="F21" s="4" t="s">
        <v>7</v>
      </c>
      <c r="G21" s="4" t="s">
        <v>8</v>
      </c>
      <c r="H21" s="4" t="s">
        <v>9</v>
      </c>
    </row>
    <row r="22" spans="3:13" ht="16.5" x14ac:dyDescent="0.25">
      <c r="C22" s="3" t="s">
        <v>10</v>
      </c>
      <c r="D22" s="3">
        <f>D11</f>
        <v>41429.9</v>
      </c>
      <c r="E22" s="3">
        <f>F11</f>
        <v>49715.88</v>
      </c>
      <c r="F22" s="3">
        <v>23912.61</v>
      </c>
      <c r="G22" s="3">
        <v>21521.35</v>
      </c>
      <c r="H22" s="3">
        <v>27499.5</v>
      </c>
    </row>
    <row r="23" spans="3:13" ht="16.5" x14ac:dyDescent="0.25">
      <c r="C23" s="3" t="s">
        <v>11</v>
      </c>
      <c r="D23" s="3">
        <f>D12</f>
        <v>29618.2</v>
      </c>
      <c r="E23" s="3">
        <v>23113.62</v>
      </c>
      <c r="F23" s="3">
        <v>23113.62</v>
      </c>
      <c r="G23" s="3">
        <v>20802.259999999998</v>
      </c>
      <c r="H23" s="3">
        <v>26580.66</v>
      </c>
    </row>
    <row r="24" spans="3:13" ht="16.5" x14ac:dyDescent="0.25">
      <c r="C24" s="3" t="s">
        <v>12</v>
      </c>
      <c r="D24" s="3">
        <f>D13</f>
        <v>130445</v>
      </c>
      <c r="E24" s="3">
        <v>132780</v>
      </c>
      <c r="F24" s="3">
        <v>132780</v>
      </c>
      <c r="G24" s="3">
        <v>119502</v>
      </c>
      <c r="H24" s="3">
        <v>152697</v>
      </c>
    </row>
    <row r="25" spans="3:13" ht="16.5" x14ac:dyDescent="0.25">
      <c r="C25" s="3" t="s">
        <v>13</v>
      </c>
      <c r="D25" s="3">
        <f>D14</f>
        <v>12280.65</v>
      </c>
      <c r="E25" s="3">
        <v>15371.7</v>
      </c>
      <c r="F25" s="3">
        <v>15371.7</v>
      </c>
      <c r="G25" s="3">
        <v>13834.53</v>
      </c>
      <c r="H25" s="3">
        <v>17677.46</v>
      </c>
    </row>
  </sheetData>
  <phoneticPr fontId="6" type="noConversion"/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K40"/>
  <sheetViews>
    <sheetView tabSelected="1" topLeftCell="A25" workbookViewId="0">
      <selection activeCell="C39" sqref="C39"/>
    </sheetView>
  </sheetViews>
  <sheetFormatPr defaultRowHeight="15" x14ac:dyDescent="0.25"/>
  <cols>
    <col min="2" max="2" width="32.85546875" bestFit="1" customWidth="1"/>
    <col min="3" max="3" width="26.140625" bestFit="1" customWidth="1"/>
    <col min="4" max="4" width="24.42578125" bestFit="1" customWidth="1"/>
    <col min="5" max="5" width="14.42578125" customWidth="1"/>
    <col min="9" max="9" width="31.140625" bestFit="1" customWidth="1"/>
    <col min="10" max="10" width="18.5703125" bestFit="1" customWidth="1"/>
    <col min="11" max="11" width="16.28515625" bestFit="1" customWidth="1"/>
  </cols>
  <sheetData>
    <row r="3" spans="2:11" ht="15.75" thickBot="1" x14ac:dyDescent="0.3"/>
    <row r="4" spans="2:11" ht="15.75" thickBot="1" x14ac:dyDescent="0.3">
      <c r="B4" s="18" t="s">
        <v>17</v>
      </c>
      <c r="C4" s="19"/>
      <c r="D4" s="20"/>
      <c r="E4" s="21"/>
      <c r="I4" s="27" t="s">
        <v>15</v>
      </c>
      <c r="J4" s="28" t="s">
        <v>26</v>
      </c>
    </row>
    <row r="5" spans="2:11" ht="15.75" thickBot="1" x14ac:dyDescent="0.3">
      <c r="B5" s="18" t="s">
        <v>18</v>
      </c>
      <c r="C5" s="19"/>
      <c r="D5" s="20"/>
      <c r="E5" s="21"/>
      <c r="F5" s="22"/>
      <c r="I5" s="26" t="s">
        <v>27</v>
      </c>
      <c r="J5" s="31">
        <v>120000</v>
      </c>
      <c r="K5" s="38"/>
    </row>
    <row r="6" spans="2:11" ht="15.75" thickBot="1" x14ac:dyDescent="0.3">
      <c r="B6" s="18" t="s">
        <v>19</v>
      </c>
      <c r="C6" s="19"/>
      <c r="D6" s="20"/>
      <c r="E6" s="21"/>
      <c r="F6" s="22"/>
      <c r="I6" s="17" t="s">
        <v>2</v>
      </c>
      <c r="J6" s="39">
        <v>50000</v>
      </c>
      <c r="K6" s="38"/>
    </row>
    <row r="7" spans="2:11" ht="15.75" thickBot="1" x14ac:dyDescent="0.3">
      <c r="B7" s="18" t="s">
        <v>20</v>
      </c>
      <c r="C7" s="19"/>
      <c r="D7" s="20"/>
      <c r="E7" s="21"/>
      <c r="F7" s="22"/>
      <c r="I7" s="33" t="s">
        <v>0</v>
      </c>
      <c r="J7" s="31">
        <v>40000</v>
      </c>
      <c r="K7" s="38"/>
    </row>
    <row r="8" spans="2:11" ht="15.75" thickBot="1" x14ac:dyDescent="0.3">
      <c r="B8" s="18" t="s">
        <v>21</v>
      </c>
      <c r="C8" s="19"/>
      <c r="D8" s="20"/>
      <c r="E8" s="21"/>
      <c r="F8" s="22"/>
      <c r="I8" s="17" t="s">
        <v>28</v>
      </c>
      <c r="J8" s="32">
        <v>7500</v>
      </c>
      <c r="K8" s="38"/>
    </row>
    <row r="9" spans="2:11" ht="15.75" thickBot="1" x14ac:dyDescent="0.3">
      <c r="B9" s="18" t="s">
        <v>22</v>
      </c>
      <c r="C9" s="19"/>
      <c r="D9" s="20"/>
      <c r="E9" s="21"/>
      <c r="F9" s="22"/>
      <c r="I9" s="33" t="s">
        <v>1</v>
      </c>
      <c r="J9" s="31">
        <v>245000</v>
      </c>
      <c r="K9" s="38"/>
    </row>
    <row r="10" spans="2:11" ht="15.75" thickBot="1" x14ac:dyDescent="0.3">
      <c r="B10" s="18" t="s">
        <v>23</v>
      </c>
      <c r="C10" s="19"/>
      <c r="D10" s="20"/>
      <c r="E10" s="21"/>
      <c r="F10" s="22"/>
      <c r="I10" s="17" t="s">
        <v>3</v>
      </c>
      <c r="J10" s="32">
        <v>7000</v>
      </c>
      <c r="K10" s="38"/>
    </row>
    <row r="11" spans="2:11" ht="15.75" thickBot="1" x14ac:dyDescent="0.3">
      <c r="B11" s="18" t="s">
        <v>30</v>
      </c>
      <c r="C11" s="19"/>
      <c r="D11" s="20"/>
      <c r="E11" s="21"/>
      <c r="F11" s="22"/>
      <c r="I11" s="33" t="s">
        <v>29</v>
      </c>
      <c r="J11" s="31">
        <v>30000</v>
      </c>
      <c r="K11" s="38"/>
    </row>
    <row r="12" spans="2:11" ht="15.75" thickBot="1" x14ac:dyDescent="0.3">
      <c r="B12" s="18" t="s">
        <v>24</v>
      </c>
      <c r="C12" s="19"/>
      <c r="D12" s="20"/>
      <c r="E12" s="21"/>
      <c r="F12" s="22"/>
      <c r="I12" s="17" t="s">
        <v>31</v>
      </c>
      <c r="J12" s="32">
        <v>60000</v>
      </c>
      <c r="K12" s="38"/>
    </row>
    <row r="13" spans="2:11" ht="15.75" thickBot="1" x14ac:dyDescent="0.3">
      <c r="B13" s="18" t="s">
        <v>25</v>
      </c>
      <c r="C13" s="19"/>
      <c r="D13" s="20"/>
      <c r="E13" s="21"/>
      <c r="F13" s="22"/>
      <c r="I13" s="33" t="s">
        <v>32</v>
      </c>
      <c r="J13" s="31">
        <v>80000</v>
      </c>
      <c r="K13" s="38"/>
    </row>
    <row r="14" spans="2:11" ht="15.75" thickBot="1" x14ac:dyDescent="0.3">
      <c r="B14" s="18" t="s">
        <v>33</v>
      </c>
      <c r="C14" s="19"/>
      <c r="I14" s="17" t="s">
        <v>25</v>
      </c>
      <c r="J14" s="32">
        <v>3300</v>
      </c>
      <c r="K14" s="38"/>
    </row>
    <row r="15" spans="2:11" ht="15.75" thickBot="1" x14ac:dyDescent="0.3">
      <c r="B15" s="18" t="s">
        <v>34</v>
      </c>
      <c r="C15" s="19"/>
      <c r="I15" s="33" t="s">
        <v>33</v>
      </c>
      <c r="J15" s="31">
        <v>37000</v>
      </c>
    </row>
    <row r="16" spans="2:11" ht="15.75" thickBot="1" x14ac:dyDescent="0.3">
      <c r="I16" s="17" t="s">
        <v>34</v>
      </c>
      <c r="J16" s="32">
        <v>35000</v>
      </c>
    </row>
    <row r="17" spans="2:10" ht="15.75" thickBot="1" x14ac:dyDescent="0.3">
      <c r="I17" s="26" t="s">
        <v>16</v>
      </c>
      <c r="J17" s="26">
        <f>SUBTOTAL(109,J5:J16)</f>
        <v>714800</v>
      </c>
    </row>
    <row r="18" spans="2:10" x14ac:dyDescent="0.25">
      <c r="J18">
        <v>60</v>
      </c>
    </row>
    <row r="20" spans="2:10" x14ac:dyDescent="0.25">
      <c r="I20" t="s">
        <v>35</v>
      </c>
      <c r="J20" s="2">
        <f>(J17*100)/60</f>
        <v>1191333.3333333333</v>
      </c>
    </row>
    <row r="21" spans="2:10" x14ac:dyDescent="0.25">
      <c r="B21" s="34"/>
      <c r="C21" s="35"/>
      <c r="I21" t="s">
        <v>36</v>
      </c>
      <c r="J21" s="2">
        <f>J20-J17</f>
        <v>476533.33333333326</v>
      </c>
    </row>
    <row r="22" spans="2:10" x14ac:dyDescent="0.25">
      <c r="B22" s="36"/>
      <c r="C22" s="37"/>
      <c r="J22" s="2"/>
    </row>
    <row r="23" spans="2:10" x14ac:dyDescent="0.25">
      <c r="B23" s="36"/>
      <c r="C23" s="37"/>
      <c r="J23" s="2"/>
    </row>
    <row r="24" spans="2:10" x14ac:dyDescent="0.25">
      <c r="C24" s="23"/>
      <c r="D24" s="23"/>
    </row>
    <row r="27" spans="2:10" ht="15.75" thickBot="1" x14ac:dyDescent="0.3">
      <c r="B27" s="24"/>
      <c r="C27" s="25"/>
      <c r="D27" s="25"/>
      <c r="E27" s="2"/>
    </row>
    <row r="28" spans="2:10" ht="15.75" thickBot="1" x14ac:dyDescent="0.3">
      <c r="B28" s="15" t="s">
        <v>15</v>
      </c>
      <c r="C28" s="7" t="s">
        <v>40</v>
      </c>
      <c r="D28" s="8" t="s">
        <v>39</v>
      </c>
      <c r="E28" s="2"/>
    </row>
    <row r="29" spans="2:10" ht="15.75" thickBot="1" x14ac:dyDescent="0.3">
      <c r="B29" s="26" t="s">
        <v>27</v>
      </c>
      <c r="C29" s="29">
        <v>18100.990000000002</v>
      </c>
      <c r="D29" s="31">
        <v>80000</v>
      </c>
    </row>
    <row r="30" spans="2:10" ht="15.75" thickBot="1" x14ac:dyDescent="0.3">
      <c r="B30" s="17" t="s">
        <v>2</v>
      </c>
      <c r="C30" s="30">
        <v>14782.73</v>
      </c>
      <c r="D30" s="39">
        <v>50000</v>
      </c>
    </row>
    <row r="31" spans="2:10" ht="15.75" thickBot="1" x14ac:dyDescent="0.3">
      <c r="B31" s="33" t="s">
        <v>0</v>
      </c>
      <c r="C31" s="29">
        <v>8326.89</v>
      </c>
      <c r="D31" s="31">
        <v>40000</v>
      </c>
    </row>
    <row r="32" spans="2:10" ht="15.75" thickBot="1" x14ac:dyDescent="0.3">
      <c r="B32" s="17" t="s">
        <v>28</v>
      </c>
      <c r="C32" s="30">
        <v>9913.42</v>
      </c>
      <c r="D32" s="32">
        <v>7500</v>
      </c>
    </row>
    <row r="33" spans="2:4" ht="15.75" thickBot="1" x14ac:dyDescent="0.3">
      <c r="B33" s="33" t="s">
        <v>1</v>
      </c>
      <c r="C33" s="29">
        <v>28150</v>
      </c>
      <c r="D33" s="31">
        <v>150000</v>
      </c>
    </row>
    <row r="34" spans="2:4" ht="15.75" thickBot="1" x14ac:dyDescent="0.3">
      <c r="B34" s="17" t="s">
        <v>3</v>
      </c>
      <c r="C34" s="30">
        <v>0</v>
      </c>
      <c r="D34" s="32">
        <v>7000</v>
      </c>
    </row>
    <row r="35" spans="2:4" ht="15.75" thickBot="1" x14ac:dyDescent="0.3">
      <c r="B35" s="33" t="s">
        <v>29</v>
      </c>
      <c r="C35" s="29">
        <v>25052.3</v>
      </c>
      <c r="D35" s="31">
        <v>30000</v>
      </c>
    </row>
    <row r="36" spans="2:4" ht="15.75" thickBot="1" x14ac:dyDescent="0.3">
      <c r="B36" s="17" t="s">
        <v>31</v>
      </c>
      <c r="C36" s="30">
        <v>3864.52</v>
      </c>
      <c r="D36" s="32">
        <v>60000</v>
      </c>
    </row>
    <row r="37" spans="2:4" ht="15.75" thickBot="1" x14ac:dyDescent="0.3">
      <c r="B37" s="33" t="s">
        <v>32</v>
      </c>
      <c r="C37" s="29">
        <v>5228.28</v>
      </c>
      <c r="D37" s="31">
        <v>80000</v>
      </c>
    </row>
    <row r="38" spans="2:4" ht="15.75" thickBot="1" x14ac:dyDescent="0.3">
      <c r="B38" s="17" t="s">
        <v>25</v>
      </c>
      <c r="C38" s="30">
        <v>24357.96</v>
      </c>
      <c r="D38" s="32">
        <v>60000</v>
      </c>
    </row>
    <row r="39" spans="2:4" ht="15.75" thickBot="1" x14ac:dyDescent="0.3">
      <c r="B39" s="33" t="s">
        <v>33</v>
      </c>
      <c r="C39" s="29">
        <v>0</v>
      </c>
      <c r="D39" s="31">
        <v>37000</v>
      </c>
    </row>
    <row r="40" spans="2:4" ht="15.75" thickBot="1" x14ac:dyDescent="0.3">
      <c r="B40" s="17" t="s">
        <v>34</v>
      </c>
      <c r="C40" s="30"/>
      <c r="D40" s="32">
        <v>35000</v>
      </c>
    </row>
  </sheetData>
  <phoneticPr fontId="6" type="noConversion"/>
  <pageMargins left="1.28" right="0.2" top="1.63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amministrazione@oniricodesign.com</cp:lastModifiedBy>
  <cp:lastPrinted>2025-11-20T09:14:34Z</cp:lastPrinted>
  <dcterms:created xsi:type="dcterms:W3CDTF">2025-09-05T09:55:18Z</dcterms:created>
  <dcterms:modified xsi:type="dcterms:W3CDTF">2026-06-04T11:20:46Z</dcterms:modified>
</cp:coreProperties>
</file>