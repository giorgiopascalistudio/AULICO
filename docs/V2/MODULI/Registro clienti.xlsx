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\\192.168.1.185\04 - vendite\01 - CLIENTI\"/>
    </mc:Choice>
  </mc:AlternateContent>
  <xr:revisionPtr revIDLastSave="0" documentId="13_ncr:1_{C3F953C2-FC4A-4E94-BEF6-554405777970}" xr6:coauthVersionLast="45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oglio1" sheetId="1" r:id="rId1"/>
  </sheets>
  <definedNames>
    <definedName name="_xlnm._FilterDatabase" localSheetId="0" hidden="1">Foglio1!$B$2:$P$97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6" i="1" l="1"/>
  <c r="D106" i="1" l="1"/>
  <c r="D102" i="1"/>
  <c r="B93" i="1" l="1"/>
  <c r="B94" i="1"/>
  <c r="B32" i="1" l="1"/>
  <c r="E106" i="1" l="1"/>
  <c r="E105" i="1"/>
  <c r="D105" i="1"/>
  <c r="E104" i="1"/>
  <c r="D104" i="1"/>
  <c r="E103" i="1"/>
  <c r="D103" i="1"/>
  <c r="E102" i="1"/>
  <c r="E101" i="1"/>
  <c r="D101" i="1"/>
  <c r="B97" i="1"/>
  <c r="B95" i="1"/>
  <c r="B92" i="1"/>
  <c r="B54" i="1"/>
  <c r="B39" i="1"/>
  <c r="B79" i="1"/>
  <c r="B71" i="1"/>
  <c r="B44" i="1"/>
  <c r="B15" i="1"/>
  <c r="B76" i="1"/>
  <c r="B91" i="1"/>
  <c r="B83" i="1"/>
  <c r="B90" i="1"/>
  <c r="B89" i="1"/>
  <c r="B88" i="1"/>
  <c r="B87" i="1"/>
  <c r="B78" i="1"/>
  <c r="B86" i="1"/>
  <c r="B85" i="1"/>
  <c r="B75" i="1"/>
  <c r="B74" i="1"/>
  <c r="B73" i="1"/>
  <c r="B72" i="1"/>
  <c r="B84" i="1"/>
  <c r="B82" i="1"/>
  <c r="B69" i="1"/>
  <c r="B68" i="1"/>
  <c r="B81" i="1"/>
  <c r="B80" i="1"/>
  <c r="B65" i="1"/>
  <c r="B77" i="1"/>
  <c r="B70" i="1"/>
  <c r="B62" i="1"/>
  <c r="B67" i="1"/>
  <c r="B66" i="1"/>
  <c r="B63" i="1"/>
  <c r="B61" i="1"/>
  <c r="B60" i="1"/>
  <c r="B59" i="1"/>
  <c r="B55" i="1"/>
  <c r="B58" i="1"/>
  <c r="B57" i="1"/>
  <c r="B56" i="1"/>
  <c r="B53" i="1"/>
  <c r="B52" i="1"/>
  <c r="B51" i="1"/>
  <c r="B50" i="1"/>
  <c r="B47" i="1"/>
  <c r="B64" i="1"/>
  <c r="B49" i="1"/>
  <c r="B48" i="1"/>
  <c r="B46" i="1"/>
  <c r="B45" i="1"/>
  <c r="B43" i="1"/>
  <c r="B42" i="1"/>
  <c r="B41" i="1"/>
  <c r="B40" i="1"/>
  <c r="B38" i="1"/>
  <c r="B37" i="1"/>
  <c r="B35" i="1"/>
  <c r="B36" i="1"/>
  <c r="B34" i="1"/>
  <c r="B33" i="1"/>
  <c r="B31" i="1"/>
  <c r="B29" i="1"/>
  <c r="B30" i="1"/>
  <c r="B28" i="1"/>
  <c r="B27" i="1"/>
  <c r="B26" i="1"/>
  <c r="B25" i="1"/>
  <c r="B24" i="1"/>
  <c r="B23" i="1"/>
  <c r="B22" i="1"/>
  <c r="B21" i="1"/>
  <c r="B20" i="1"/>
  <c r="B19" i="1"/>
  <c r="B17" i="1"/>
  <c r="B18" i="1"/>
  <c r="B16" i="1"/>
  <c r="B14" i="1"/>
  <c r="B13" i="1"/>
  <c r="B12" i="1"/>
  <c r="B11" i="1"/>
  <c r="B10" i="1"/>
  <c r="B9" i="1"/>
  <c r="B8" i="1"/>
  <c r="B7" i="1"/>
  <c r="B6" i="1"/>
  <c r="B5" i="1"/>
  <c r="B4" i="1"/>
  <c r="B3" i="1"/>
  <c r="F106" i="1" l="1"/>
  <c r="F104" i="1"/>
  <c r="F103" i="1"/>
  <c r="F102" i="1"/>
  <c r="F105" i="1"/>
  <c r="F10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Msi</author>
  </authors>
  <commentList>
    <comment ref="H3" authorId="0" shapeId="0" xr:uid="{00000000-0006-0000-0000-000001000000}">
      <text>
        <r>
          <rPr>
            <sz val="10"/>
            <rFont val="Arial"/>
            <family val="2"/>
          </rPr>
          <t xml:space="preserve">Msi:
</t>
        </r>
        <r>
          <rPr>
            <sz val="9"/>
            <color rgb="FF000000"/>
            <rFont val="Tahoma"/>
            <family val="2"/>
          </rPr>
          <t xml:space="preserve">SGURA DONATO
</t>
        </r>
      </text>
    </comment>
    <comment ref="H38" authorId="0" shapeId="0" xr:uid="{00000000-0006-0000-0000-000002000000}">
      <text>
        <r>
          <rPr>
            <sz val="10"/>
            <rFont val="Arial"/>
            <family val="2"/>
          </rPr>
          <t xml:space="preserve">Msi
</t>
        </r>
        <r>
          <rPr>
            <sz val="9"/>
            <color rgb="FF000000"/>
            <rFont val="Tahoma"/>
            <family val="2"/>
            <charset val="1"/>
          </rPr>
          <t xml:space="preserve">NACCI GRAZIO
</t>
        </r>
      </text>
    </comment>
    <comment ref="H50" authorId="0" shapeId="0" xr:uid="{00000000-0006-0000-0000-000003000000}">
      <text>
        <r>
          <rPr>
            <sz val="10"/>
            <rFont val="Arial"/>
            <family val="2"/>
          </rPr>
          <t xml:space="preserve">Msi:
</t>
        </r>
        <r>
          <rPr>
            <sz val="9"/>
            <color rgb="FF000000"/>
            <rFont val="Tahoma"/>
            <family val="2"/>
            <charset val="1"/>
          </rPr>
          <t xml:space="preserve">EMANUELA NACCI
</t>
        </r>
      </text>
    </comment>
    <comment ref="H6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Msi:</t>
        </r>
        <r>
          <rPr>
            <sz val="9"/>
            <color indexed="81"/>
            <rFont val="Tahoma"/>
            <family val="2"/>
          </rPr>
          <t xml:space="preserve">
Parisi Mario
</t>
        </r>
      </text>
    </comment>
    <comment ref="H8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Msi:</t>
        </r>
        <r>
          <rPr>
            <sz val="9"/>
            <color indexed="81"/>
            <rFont val="Tahoma"/>
            <family val="2"/>
          </rPr>
          <t xml:space="preserve">
Davide Greco 30/40
</t>
        </r>
      </text>
    </comment>
    <comment ref="H8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Msi:</t>
        </r>
        <r>
          <rPr>
            <sz val="9"/>
            <color indexed="81"/>
            <rFont val="Tahoma"/>
            <family val="2"/>
          </rPr>
          <t xml:space="preserve">
Semeraro Uccio
</t>
        </r>
      </text>
    </comment>
  </commentList>
</comments>
</file>

<file path=xl/sharedStrings.xml><?xml version="1.0" encoding="utf-8"?>
<sst xmlns="http://schemas.openxmlformats.org/spreadsheetml/2006/main" count="913" uniqueCount="360">
  <si>
    <t>Numero</t>
  </si>
  <si>
    <t>Denominazione</t>
  </si>
  <si>
    <t>Cognome</t>
  </si>
  <si>
    <t>Nome</t>
  </si>
  <si>
    <t>Indirizzo</t>
  </si>
  <si>
    <t>Email</t>
  </si>
  <si>
    <t>Numero di telefono</t>
  </si>
  <si>
    <t>Stato</t>
  </si>
  <si>
    <t>Fascia</t>
  </si>
  <si>
    <t>Responsabile cliente</t>
  </si>
  <si>
    <t>Riferimento comunicazione</t>
  </si>
  <si>
    <t>Preventivo</t>
  </si>
  <si>
    <t>Saldato</t>
  </si>
  <si>
    <t>Data inizio</t>
  </si>
  <si>
    <t>Data fine</t>
  </si>
  <si>
    <t xml:space="preserve">AYROLDI </t>
  </si>
  <si>
    <t>MARIA</t>
  </si>
  <si>
    <t>Piazza avv. Gino Zaccaria 3 - Martina Franca</t>
  </si>
  <si>
    <t>+39 338 652 0359</t>
  </si>
  <si>
    <t>Attivo</t>
  </si>
  <si>
    <t>3 Fascia</t>
  </si>
  <si>
    <t>Raffaele Zivoli</t>
  </si>
  <si>
    <t>Ilaria Cavallo</t>
  </si>
  <si>
    <t>Firmato</t>
  </si>
  <si>
    <t>BELL</t>
  </si>
  <si>
    <t>ALAN</t>
  </si>
  <si>
    <t>Via Donato Bruno Lupo n.32 - Manduria</t>
  </si>
  <si>
    <t>Chiuso</t>
  </si>
  <si>
    <t>Dario Flore</t>
  </si>
  <si>
    <t>SI</t>
  </si>
  <si>
    <t>BENNARDO</t>
  </si>
  <si>
    <t>GIANLUCA</t>
  </si>
  <si>
    <t>C.da Bagnardi - Ostuni</t>
  </si>
  <si>
    <t>+39 371 418 1135</t>
  </si>
  <si>
    <t>Non firmato</t>
  </si>
  <si>
    <t xml:space="preserve">BICHARD  </t>
  </si>
  <si>
    <t>JAMES</t>
  </si>
  <si>
    <t>C.da Pezze Sant'Angelo - Ceglie Messapica</t>
  </si>
  <si>
    <t>+44 7841 562560</t>
  </si>
  <si>
    <t>1 Fascia</t>
  </si>
  <si>
    <t>BISHOP</t>
  </si>
  <si>
    <t>JONATHAN WILLIAM</t>
  </si>
  <si>
    <t>C.da Mustazzo - Ceglie Messapica</t>
  </si>
  <si>
    <t>+44 7779 623859</t>
  </si>
  <si>
    <t>Claudia Turco</t>
  </si>
  <si>
    <t>BOSCARO</t>
  </si>
  <si>
    <t>MATTEO</t>
  </si>
  <si>
    <t>C.da Genovese - Ceglie Messapica</t>
  </si>
  <si>
    <t>+39 347 687 0861</t>
  </si>
  <si>
    <t>2 Fascia</t>
  </si>
  <si>
    <t>Vitania Rubino</t>
  </si>
  <si>
    <t>CAIOLO</t>
  </si>
  <si>
    <t>LUIGI</t>
  </si>
  <si>
    <t>Via S.M. Vito Masiello - San Vito dei Normanni</t>
  </si>
  <si>
    <t>+39 340 965 4213</t>
  </si>
  <si>
    <t>Marco Epifani</t>
  </si>
  <si>
    <t xml:space="preserve">CALO' </t>
  </si>
  <si>
    <t>GIOVANNI</t>
  </si>
  <si>
    <t>Via Socrate - Santa Sabina</t>
  </si>
  <si>
    <t>+39 333 110 1292</t>
  </si>
  <si>
    <t>CAPOBIANCO</t>
  </si>
  <si>
    <t>Pilone 1 - Ostuni</t>
  </si>
  <si>
    <t>+39 347 454 3638</t>
  </si>
  <si>
    <t>CARLENS</t>
  </si>
  <si>
    <t>JACQUES</t>
  </si>
  <si>
    <t>C.da Pezze Mammarelle - Martina Franca</t>
  </si>
  <si>
    <t>+32 473 89 90 00</t>
  </si>
  <si>
    <t>CARLTON</t>
  </si>
  <si>
    <t>ALEX</t>
  </si>
  <si>
    <t>C.da Sessana - Ostuni</t>
  </si>
  <si>
    <t>+44 7956 399901</t>
  </si>
  <si>
    <t xml:space="preserve">CIOLA </t>
  </si>
  <si>
    <t>C.da Peraro - Ostuni</t>
  </si>
  <si>
    <t xml:space="preserve">Firmato </t>
  </si>
  <si>
    <t>CISARIA</t>
  </si>
  <si>
    <t>ANTONELLO</t>
  </si>
  <si>
    <t>Via P.S. Tamborrino - Ostuni</t>
  </si>
  <si>
    <t>+39 337 834 067</t>
  </si>
  <si>
    <t xml:space="preserve">COLUCCI </t>
  </si>
  <si>
    <t>ALDO MARIANO</t>
  </si>
  <si>
    <t>C.da Ramunno - Ostuni</t>
  </si>
  <si>
    <t>+39 329 487 6697</t>
  </si>
  <si>
    <t>ERMANNO</t>
  </si>
  <si>
    <t>C.da Salinola - Ostuni</t>
  </si>
  <si>
    <t>+39 328 109 5101</t>
  </si>
  <si>
    <t xml:space="preserve">CONNOL  </t>
  </si>
  <si>
    <t>CHRIS</t>
  </si>
  <si>
    <t>CONSERVA</t>
  </si>
  <si>
    <t>GIUSEPPE</t>
  </si>
  <si>
    <t>C.da Albrizido - Ostuni</t>
  </si>
  <si>
    <t>+49 176 80359577</t>
  </si>
  <si>
    <t>CONTINI</t>
  </si>
  <si>
    <t>STEFANO</t>
  </si>
  <si>
    <t>+39 348 223 8171</t>
  </si>
  <si>
    <t xml:space="preserve">D'AGNANO </t>
  </si>
  <si>
    <t>ALESSANDRO</t>
  </si>
  <si>
    <t>C.da Palombara - San Vito dei normanni</t>
  </si>
  <si>
    <t>+39 334 824 6607</t>
  </si>
  <si>
    <t>DE CILLIS</t>
  </si>
  <si>
    <t>C.da Pagliarulo - Carovigno</t>
  </si>
  <si>
    <t>+39 348 512 4604</t>
  </si>
  <si>
    <t xml:space="preserve">DE GIOVANNI </t>
  </si>
  <si>
    <t>C.da Santo Magno - Ostuni</t>
  </si>
  <si>
    <t>+39 366 876 5770</t>
  </si>
  <si>
    <t>OPERA PRIMA</t>
  </si>
  <si>
    <t>Corso Vittorio Emanuele II - Ostuni</t>
  </si>
  <si>
    <t xml:space="preserve">DE LECCE </t>
  </si>
  <si>
    <t>MARIO</t>
  </si>
  <si>
    <t>C.da Cervarolo - Ostuni</t>
  </si>
  <si>
    <t>+1 (831) 238-7542</t>
  </si>
  <si>
    <t>OPTIMIST  SRL</t>
  </si>
  <si>
    <t>DE LUCA</t>
  </si>
  <si>
    <t>UGO</t>
  </si>
  <si>
    <t>C.da Musone - Ostuni</t>
  </si>
  <si>
    <t>+39 347 384 1902</t>
  </si>
  <si>
    <t>VALLEGNA SOC. AGRICOLA SRL</t>
  </si>
  <si>
    <t xml:space="preserve">DE PASCALE </t>
  </si>
  <si>
    <t>DARIO</t>
  </si>
  <si>
    <t>Cantina - C.da Cavallerizza - Ostuni</t>
  </si>
  <si>
    <t>+39 328 316 0853</t>
  </si>
  <si>
    <t>Casale Mindelli - C.da Vallegna - Ostuni</t>
  </si>
  <si>
    <t>C.da Cavallerizza</t>
  </si>
  <si>
    <t xml:space="preserve">DE PASQUALE </t>
  </si>
  <si>
    <t>ANGELO</t>
  </si>
  <si>
    <t>Via Martina Franca - Ostuni</t>
  </si>
  <si>
    <t>+39 340 396 1037</t>
  </si>
  <si>
    <t>D'ERRICO</t>
  </si>
  <si>
    <t>GIACOMO</t>
  </si>
  <si>
    <t>+39 340 122 3877</t>
  </si>
  <si>
    <t>DI LASCIO</t>
  </si>
  <si>
    <t>MICHELE</t>
  </si>
  <si>
    <t>C.da Vallegna - Ostuni</t>
  </si>
  <si>
    <t>+33 6 50 97 16 99</t>
  </si>
  <si>
    <t>FEDELE</t>
  </si>
  <si>
    <t>Via Regina Margherita - Carovigno</t>
  </si>
  <si>
    <t>+39 338 629 0505</t>
  </si>
  <si>
    <t xml:space="preserve">GALEONE </t>
  </si>
  <si>
    <t>+39 338 527 7229</t>
  </si>
  <si>
    <t xml:space="preserve">GIANQUITTO </t>
  </si>
  <si>
    <t>C.da Sardella - Ceglie Messapica</t>
  </si>
  <si>
    <t>+44 7970 139774</t>
  </si>
  <si>
    <t>GIOIA</t>
  </si>
  <si>
    <t>MARIAGRAZIA</t>
  </si>
  <si>
    <t>C.da Vado Aperto - Ostuni</t>
  </si>
  <si>
    <t>+39 339 818 0533</t>
  </si>
  <si>
    <t xml:space="preserve">GOFFREDO </t>
  </si>
  <si>
    <t>ANDREA</t>
  </si>
  <si>
    <t>C.da Traghetto - Ostuni</t>
  </si>
  <si>
    <t>+39 348 423 9346</t>
  </si>
  <si>
    <t xml:space="preserve">HUBBARD </t>
  </si>
  <si>
    <t>JAMES JOSHUA</t>
  </si>
  <si>
    <t>IAIA</t>
  </si>
  <si>
    <t>Via Giuseppe Cino - Mesagne</t>
  </si>
  <si>
    <t>+39 346 710 9267</t>
  </si>
  <si>
    <t xml:space="preserve">MASSERIA LA FONTE </t>
  </si>
  <si>
    <t>JARVIS</t>
  </si>
  <si>
    <t>JOE</t>
  </si>
  <si>
    <t>C.da Fontevecchia - Ostuni</t>
  </si>
  <si>
    <t>LAGHEZZA</t>
  </si>
  <si>
    <t>ANGELA</t>
  </si>
  <si>
    <t xml:space="preserve">LAVENEZIANA </t>
  </si>
  <si>
    <t>C.da Lamacoppa - Ostuni</t>
  </si>
  <si>
    <t>+39 339 421 5490</t>
  </si>
  <si>
    <t>NO</t>
  </si>
  <si>
    <t>LEEKS</t>
  </si>
  <si>
    <t>NATHAN</t>
  </si>
  <si>
    <t>C.da Fumarola - Ostuni</t>
  </si>
  <si>
    <t>+44 7808 939919</t>
  </si>
  <si>
    <t xml:space="preserve">LIMITONE </t>
  </si>
  <si>
    <t>GABRIELE</t>
  </si>
  <si>
    <t>Martina Franca</t>
  </si>
  <si>
    <t>LUSA SAS</t>
  </si>
  <si>
    <t>PERON</t>
  </si>
  <si>
    <t>+39 340 796 8550</t>
  </si>
  <si>
    <t>MAFFEI</t>
  </si>
  <si>
    <t>NICOLA</t>
  </si>
  <si>
    <t>+39 348 601 6135</t>
  </si>
  <si>
    <t>MARSEGLIA</t>
  </si>
  <si>
    <t>DANIELE</t>
  </si>
  <si>
    <t>Via Ferrara - Ostuni</t>
  </si>
  <si>
    <t>+39 389 897 1724</t>
  </si>
  <si>
    <t>MASSERIA SANSONE</t>
  </si>
  <si>
    <t>C.da Parco Paolino - Ostuni</t>
  </si>
  <si>
    <t>+39 392 265 5019</t>
  </si>
  <si>
    <t xml:space="preserve">MARZIO </t>
  </si>
  <si>
    <t>ANTONIO</t>
  </si>
  <si>
    <t>C.da Molillo - Ostuni</t>
  </si>
  <si>
    <t>+39 339 868 9027</t>
  </si>
  <si>
    <t>MASSAFRA</t>
  </si>
  <si>
    <t>MAURIZIO</t>
  </si>
  <si>
    <t>Via Giovanni Lanucara - Martina Franca</t>
  </si>
  <si>
    <t>+39 388 372 5009</t>
  </si>
  <si>
    <t xml:space="preserve">MELPIGNANO </t>
  </si>
  <si>
    <t>PIERPAOLO</t>
  </si>
  <si>
    <t>MUNA AKRAM KAMEL</t>
  </si>
  <si>
    <t>YASSIN</t>
  </si>
  <si>
    <t>C.da Fragniti - Ceglie Messapica</t>
  </si>
  <si>
    <t xml:space="preserve">MYERS </t>
  </si>
  <si>
    <t>SERAPHINA JANE</t>
  </si>
  <si>
    <t>C.da Sessana Grande - Ostuni</t>
  </si>
  <si>
    <t xml:space="preserve">NACCI </t>
  </si>
  <si>
    <t>GRAZIO</t>
  </si>
  <si>
    <t>DONATO</t>
  </si>
  <si>
    <t>C.da Donnagnora - Ostuni</t>
  </si>
  <si>
    <t>PARISI</t>
  </si>
  <si>
    <t>MARIA RITA</t>
  </si>
  <si>
    <t>C.da Tolla - Ostuni</t>
  </si>
  <si>
    <t xml:space="preserve">PECERE </t>
  </si>
  <si>
    <t>C.da Martucci - Ostuni</t>
  </si>
  <si>
    <t xml:space="preserve">POLSINELLI </t>
  </si>
  <si>
    <t>RICCARDO</t>
  </si>
  <si>
    <t>C.da Santo Scalone - Ostuni</t>
  </si>
  <si>
    <t>PRINCIPALLI</t>
  </si>
  <si>
    <t>VITO</t>
  </si>
  <si>
    <t>Via Giovanni Verga - San Michele Salentino</t>
  </si>
  <si>
    <t>PUTIGNANO</t>
  </si>
  <si>
    <t>Via Camillo Porzio - Ostuni</t>
  </si>
  <si>
    <t xml:space="preserve">RICCI </t>
  </si>
  <si>
    <t>ROCCO</t>
  </si>
  <si>
    <t>C.da Ciossa - Ostuni</t>
  </si>
  <si>
    <t xml:space="preserve">SANGIUSEPPE </t>
  </si>
  <si>
    <t>Corso Garibaldi - Ostuni</t>
  </si>
  <si>
    <t xml:space="preserve">SEIM SRL </t>
  </si>
  <si>
    <t>SARACINO</t>
  </si>
  <si>
    <t>ELISANGELA</t>
  </si>
  <si>
    <t>C.da Chiobbica - Ostuni</t>
  </si>
  <si>
    <t>AB CAPITAL PUGLIA SRL</t>
  </si>
  <si>
    <t>SAVOIA</t>
  </si>
  <si>
    <t>VITTORIO</t>
  </si>
  <si>
    <t>San Vito dei Normanni</t>
  </si>
  <si>
    <t>FIDES SRL</t>
  </si>
  <si>
    <t>Palazzotto - Via Vittorio Veneto - Carovigno</t>
  </si>
  <si>
    <t>TARALLI RE SRL</t>
  </si>
  <si>
    <t>L3 - C.da Medico - San Vito Dei Normanni</t>
  </si>
  <si>
    <t>FRISELLE RE SRL</t>
  </si>
  <si>
    <t>L1 - C.da Medico - San Vito Dei Normanni</t>
  </si>
  <si>
    <t>Dormiente</t>
  </si>
  <si>
    <t>P1 - C.da Cachi - San Vito Dei Normanni</t>
  </si>
  <si>
    <t>P2 - C.da Cachi - San Vito Dei Normanni</t>
  </si>
  <si>
    <t>P3/P4 - C.da Cachi - San Vito Dei Normanni</t>
  </si>
  <si>
    <t>PASTICCIOTTI RE SRL</t>
  </si>
  <si>
    <t>Masseria - C.da Medico - San Vito Dei Normanni</t>
  </si>
  <si>
    <t>L4 - C.da Medico - San Vito Dei Normanni</t>
  </si>
  <si>
    <t>L2 - C.da Medico - San Vito Dei Normanni</t>
  </si>
  <si>
    <t>COMUNE DI CAROVIGNO</t>
  </si>
  <si>
    <t>SCUOLA</t>
  </si>
  <si>
    <t>MATERNA</t>
  </si>
  <si>
    <t>Via Francesco Crispi - Carovigno</t>
  </si>
  <si>
    <t xml:space="preserve">SEMERANO </t>
  </si>
  <si>
    <t>MARCO</t>
  </si>
  <si>
    <t xml:space="preserve">SEMERARO </t>
  </si>
  <si>
    <t>UCCIO</t>
  </si>
  <si>
    <t>App. - Via Oronzo Paolo D'amico - Ostuni</t>
  </si>
  <si>
    <t xml:space="preserve">SEMPERLOTTI </t>
  </si>
  <si>
    <t>MONICA</t>
  </si>
  <si>
    <t>C.da Cantrapa - Ostuni</t>
  </si>
  <si>
    <t xml:space="preserve">SUPPLE </t>
  </si>
  <si>
    <t>DANTON</t>
  </si>
  <si>
    <t>C.da Capo D'olio - Ceglie Messapica</t>
  </si>
  <si>
    <t>TAMBORRINO</t>
  </si>
  <si>
    <t>ORONZO</t>
  </si>
  <si>
    <t>Via Anita Garibaldi n.8</t>
  </si>
  <si>
    <t xml:space="preserve">TURCO </t>
  </si>
  <si>
    <t>C.da Piatone - Ostuni</t>
  </si>
  <si>
    <t>MASSERIA SPECCHIA</t>
  </si>
  <si>
    <t>VALENTE</t>
  </si>
  <si>
    <t>CONCETTA RITA</t>
  </si>
  <si>
    <t>C.da Specchia - Carovigno</t>
  </si>
  <si>
    <t xml:space="preserve">VELARDI  </t>
  </si>
  <si>
    <t>C.da Palagogna - Ceglie Messapica</t>
  </si>
  <si>
    <t>TOTALE</t>
  </si>
  <si>
    <t>DARIO FLORE</t>
  </si>
  <si>
    <t>CLAUDIA TURCO</t>
  </si>
  <si>
    <t>VITANIA RUBINO</t>
  </si>
  <si>
    <t>MARCO EPIFANI</t>
  </si>
  <si>
    <t>RAFFAELE ZIVOLI</t>
  </si>
  <si>
    <t>ILARIA CAVALLO</t>
  </si>
  <si>
    <t>LEGENDA "DATA FINE"</t>
  </si>
  <si>
    <t>SCADUTO</t>
  </si>
  <si>
    <t xml:space="preserve">ENTRO 7 GIORNI </t>
  </si>
  <si>
    <t>DA 8 A 30 GIORNI</t>
  </si>
  <si>
    <t>OLTRE 30 GIORNI</t>
  </si>
  <si>
    <t>+39 338 478 7733</t>
  </si>
  <si>
    <t>+39 349 226 6676</t>
  </si>
  <si>
    <t>+39 360 332 877</t>
  </si>
  <si>
    <t>+39 347 189 3108</t>
  </si>
  <si>
    <t>+39 338 847 8860</t>
  </si>
  <si>
    <t>+39 340 858 8177</t>
  </si>
  <si>
    <t>+39 392 963 5157</t>
  </si>
  <si>
    <t>+44 7799 533112</t>
  </si>
  <si>
    <t>+39 347 529 8473</t>
  </si>
  <si>
    <t>+39 349 397 3172</t>
  </si>
  <si>
    <t>+39 349 397 3173</t>
  </si>
  <si>
    <t>+39 349 397 3174</t>
  </si>
  <si>
    <t>+39 349 397 3175</t>
  </si>
  <si>
    <t>+39 349 397 3176</t>
  </si>
  <si>
    <t>+39 349 397 3177</t>
  </si>
  <si>
    <t>+39 349 397 3178</t>
  </si>
  <si>
    <t>+39 349 397 3179</t>
  </si>
  <si>
    <t>+39 349 397 3180</t>
  </si>
  <si>
    <t>+39 349 397 3181</t>
  </si>
  <si>
    <t>+39 334 671 6210</t>
  </si>
  <si>
    <t>+44 7521 042487</t>
  </si>
  <si>
    <t>+44 7500 075002</t>
  </si>
  <si>
    <t>+39 338 728 7874</t>
  </si>
  <si>
    <t>+39 340 824 3174</t>
  </si>
  <si>
    <t>+39 392 376 8645</t>
  </si>
  <si>
    <t>+39 339 313 1889</t>
  </si>
  <si>
    <t>dario@vallegna.it</t>
  </si>
  <si>
    <t>jim.bichard@pwc.com</t>
  </si>
  <si>
    <t>angelambro@alice.it</t>
  </si>
  <si>
    <t>daniele.marseglia@enea.it</t>
  </si>
  <si>
    <t>danton.supple@gmail.com</t>
  </si>
  <si>
    <t>ugodeluca@sentinel.it;
filippodeluca@sentinel.it</t>
  </si>
  <si>
    <t>francescodanilo.caruso@gmail.com</t>
  </si>
  <si>
    <t>giacomo.putignano@gmail.com</t>
  </si>
  <si>
    <t>jonny@jonathanbishop.net</t>
  </si>
  <si>
    <t>matteo.decillis@gmail.com</t>
  </si>
  <si>
    <t>monayassin40@yahoo.com</t>
  </si>
  <si>
    <t>carmine@saelsistem.it; 
elisa@saelsistem.it; 
seim.srl2024@gmail.com</t>
  </si>
  <si>
    <t>velardim@gmail.com</t>
  </si>
  <si>
    <t>sgura.donato@gmail.com</t>
  </si>
  <si>
    <t>ROSSELLI</t>
  </si>
  <si>
    <t>+352 691 379 622</t>
  </si>
  <si>
    <t>CIPA SRL</t>
  </si>
  <si>
    <t>PAOLO</t>
  </si>
  <si>
    <t>Via Alfredo Giovene - Ostuni</t>
  </si>
  <si>
    <t>KEITH</t>
  </si>
  <si>
    <t>+44 7973 146911</t>
  </si>
  <si>
    <t>ROMA</t>
  </si>
  <si>
    <t>C.da Penninelle - Carovigno</t>
  </si>
  <si>
    <t>SANTORO</t>
  </si>
  <si>
    <t>VINCENZO</t>
  </si>
  <si>
    <t>P.zza Torino - Ostuni</t>
  </si>
  <si>
    <t>+39 328 316 0854</t>
  </si>
  <si>
    <t>cal_giovanni@hotmail.it</t>
  </si>
  <si>
    <t>antonio.marzio@ostuni.bcc.it</t>
  </si>
  <si>
    <t xml:space="preserve">GIULIANO </t>
  </si>
  <si>
    <t>FEDERICA</t>
  </si>
  <si>
    <t>C.da Tamburroni SN - Ostuni (BR), 72017</t>
  </si>
  <si>
    <t>+39 331 682 0837</t>
  </si>
  <si>
    <t>NOVARE BIANCO SRL</t>
  </si>
  <si>
    <t>MEDALSI</t>
  </si>
  <si>
    <t>C.da Monte - San Vito dei Normanni</t>
  </si>
  <si>
    <t>+39 366 422 1467</t>
  </si>
  <si>
    <t xml:space="preserve">C.da Parco Grande - Carovigno </t>
  </si>
  <si>
    <t>YANIV</t>
  </si>
  <si>
    <t>4 Fascia</t>
  </si>
  <si>
    <t>FABIO</t>
  </si>
  <si>
    <t>AGRITURISMO ISOLA VERDE</t>
  </si>
  <si>
    <t xml:space="preserve">Viale Foggia - Carovigno </t>
  </si>
  <si>
    <t>+39 338 336 0295</t>
  </si>
  <si>
    <t>Rosa Marina - Ostuni</t>
  </si>
  <si>
    <t>C.da Boccadoro - Ostuni</t>
  </si>
  <si>
    <t>C.da Spirito Santo - Ostuni</t>
  </si>
  <si>
    <t>OPTIMIST  SRL - MUSONE 3</t>
  </si>
  <si>
    <t>BLAIR</t>
  </si>
  <si>
    <t>JENNIFER ELIZABETH</t>
  </si>
  <si>
    <t>Via Liguria 24 - Ostuni</t>
  </si>
  <si>
    <t>blairwestend@aol.com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</si>
</sst>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</font>
    <font>
      <b/>
      <sz val="10"/>
      <color theme="1"/>
      <name val="Century Gothic"/>
      <family val="2"/>
      <charset val="1"/>
    </font>
    <font>
      <sz val="10"/>
      <color theme="1"/>
      <name val="Century Gothic"/>
      <family val="2"/>
      <charset val="1"/>
    </font>
    <font>
      <sz val="10"/>
      <name val="Century Gothic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0"/>
      <name val="Century Gothic"/>
      <family val="2"/>
      <charset val="1"/>
    </font>
    <font>
      <b/>
      <sz val="10"/>
      <name val="Century Gothic"/>
      <family val="2"/>
      <charset val="1"/>
    </font>
    <font>
      <b/>
      <sz val="11"/>
      <color theme="1"/>
      <name val="Century Gothic"/>
      <family val="2"/>
      <charset val="1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entury Gothic"/>
      <family val="2"/>
      <charset val="1"/>
    </font>
    <font>
      <b/>
      <sz val="10"/>
      <color rgb="FFFF0000"/>
      <name val="Century Gothic"/>
      <family val="2"/>
      <charset val="1"/>
    </font>
    <font>
      <sz val="10"/>
      <name val="Arial"/>
      <family val="2"/>
    </font>
    <font>
      <sz val="9"/>
      <color rgb="FF000000"/>
      <name val="Tahoma"/>
      <family val="2"/>
    </font>
    <font>
      <sz val="9"/>
      <color rgb="FF000000"/>
      <name val="Tahom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charset val="1"/>
    </font>
    <font>
      <b/>
      <sz val="11"/>
      <color theme="0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u/>
      <sz val="11"/>
      <color theme="10"/>
      <name val="Calibri"/>
      <family val="2"/>
      <charset val="1"/>
    </font>
    <font>
      <u/>
      <sz val="10"/>
      <color theme="1"/>
      <name val="Century Gothic"/>
      <family val="2"/>
    </font>
    <font>
      <sz val="11"/>
      <color theme="1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14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2" fillId="0" borderId="1" xfId="0" applyFont="1" applyBorder="1"/>
    <xf numFmtId="0" fontId="2" fillId="0" borderId="2" xfId="0" applyFont="1" applyBorder="1"/>
    <xf numFmtId="0" fontId="1" fillId="0" borderId="4" xfId="0" applyFont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3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11" fillId="0" borderId="0" xfId="0" applyFont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5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 applyAlignment="1">
      <alignment vertical="center"/>
    </xf>
    <xf numFmtId="0" fontId="6" fillId="0" borderId="1" xfId="0" applyFont="1" applyBorder="1"/>
    <xf numFmtId="0" fontId="1" fillId="0" borderId="1" xfId="0" applyFont="1" applyBorder="1"/>
    <xf numFmtId="14" fontId="8" fillId="0" borderId="1" xfId="0" applyNumberFormat="1" applyFont="1" applyBorder="1" applyAlignment="1">
      <alignment vertical="center"/>
    </xf>
    <xf numFmtId="14" fontId="8" fillId="0" borderId="1" xfId="0" applyNumberFormat="1" applyFont="1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/>
    <xf numFmtId="0" fontId="18" fillId="2" borderId="1" xfId="0" applyFont="1" applyFill="1" applyBorder="1" applyAlignment="1">
      <alignment horizontal="center" vertical="center" wrapText="1"/>
    </xf>
    <xf numFmtId="14" fontId="19" fillId="0" borderId="1" xfId="0" applyNumberFormat="1" applyFont="1" applyBorder="1"/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19" fillId="0" borderId="0" xfId="0" applyFont="1"/>
    <xf numFmtId="14" fontId="22" fillId="0" borderId="1" xfId="1" applyNumberFormat="1" applyFont="1" applyBorder="1" applyAlignment="1" applyProtection="1"/>
    <xf numFmtId="0" fontId="8" fillId="0" borderId="0" xfId="0" applyFont="1"/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23" fillId="0" borderId="0" xfId="0" applyFont="1"/>
    <xf numFmtId="14" fontId="8" fillId="0" borderId="0" xfId="0" applyNumberFormat="1" applyFont="1" applyBorder="1"/>
    <xf numFmtId="0" fontId="22" fillId="0" borderId="1" xfId="1" applyFont="1" applyBorder="1"/>
    <xf numFmtId="0" fontId="0" fillId="8" borderId="0" xfId="0" applyFill="1"/>
    <xf numFmtId="0" fontId="6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14" fontId="2" fillId="0" borderId="0" xfId="0" applyNumberFormat="1" applyFont="1" applyBorder="1"/>
    <xf numFmtId="0" fontId="8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/>
    <xf numFmtId="0" fontId="6" fillId="0" borderId="0" xfId="0" applyFont="1" applyBorder="1"/>
    <xf numFmtId="0" fontId="1" fillId="0" borderId="0" xfId="0" applyFont="1" applyBorder="1"/>
    <xf numFmtId="0" fontId="1" fillId="3" borderId="1" xfId="0" applyFont="1" applyFill="1" applyBorder="1" applyAlignment="1">
      <alignment horizontal="center"/>
    </xf>
  </cellXfs>
  <cellStyles count="2">
    <cellStyle name="Collegamento ipertestuale" xfId="1" builtinId="8"/>
    <cellStyle name="Normale" xfId="0" builtinId="0"/>
  </cellStyles>
  <dxfs count="1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a2" displayName="Tabella2" ref="C100:F106" headerRowCount="0" totalsRowShown="0" headerRowDxfId="6" tableBorderDxfId="5" totalsRowBorderDxfId="4">
  <tableColumns count="4">
    <tableColumn id="1" xr3:uid="{00000000-0010-0000-0000-000001000000}" name="Colonna1" dataDxfId="3"/>
    <tableColumn id="2" xr3:uid="{00000000-0010-0000-0000-000002000000}" name="Colonna2" dataDxfId="2"/>
    <tableColumn id="3" xr3:uid="{00000000-0010-0000-0000-000003000000}" name="Colonna3" dataDxfId="1"/>
    <tableColumn id="4" xr3:uid="{00000000-0010-0000-0000-000004000000}" name="Colonna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cal_giovanni@hotmail.it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sgura.donato@gmail.com" TargetMode="External"/><Relationship Id="rId1" Type="http://schemas.openxmlformats.org/officeDocument/2006/relationships/hyperlink" Target="mailto:ugodeluca@sentinel.i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ugodeluca@sentinel.it" TargetMode="External"/><Relationship Id="rId4" Type="http://schemas.openxmlformats.org/officeDocument/2006/relationships/hyperlink" Target="mailto:antonio.marzio@ostuni.bcc.it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123"/>
  <sheetViews>
    <sheetView tabSelected="1" topLeftCell="D13" zoomScale="90" zoomScaleNormal="90" workbookViewId="0">
      <selection activeCell="P42" sqref="P42"/>
    </sheetView>
  </sheetViews>
  <sheetFormatPr defaultColWidth="8.7109375" defaultRowHeight="15" customHeight="1" x14ac:dyDescent="0.25"/>
  <cols>
    <col min="2" max="2" width="11.7109375" style="1" customWidth="1"/>
    <col min="3" max="3" width="29.7109375" style="2" customWidth="1"/>
    <col min="4" max="4" width="20.5703125" style="2" customWidth="1"/>
    <col min="5" max="5" width="26.7109375" style="2" customWidth="1"/>
    <col min="6" max="6" width="46.42578125" style="3" customWidth="1"/>
    <col min="7" max="7" width="30.140625" style="44" bestFit="1" customWidth="1"/>
    <col min="8" max="8" width="17.85546875" style="3" bestFit="1" customWidth="1"/>
    <col min="9" max="9" width="12.28515625" style="2" customWidth="1"/>
    <col min="10" max="10" width="19.7109375" style="2" customWidth="1"/>
    <col min="11" max="11" width="23.85546875" style="2" customWidth="1"/>
    <col min="12" max="12" width="25.7109375" style="4" customWidth="1"/>
    <col min="13" max="13" width="20.28515625" style="5" customWidth="1"/>
    <col min="14" max="14" width="13.5703125" style="6" customWidth="1"/>
    <col min="15" max="15" width="11.5703125" style="7" bestFit="1" customWidth="1"/>
    <col min="16" max="16" width="12.140625" style="2" customWidth="1"/>
  </cols>
  <sheetData>
    <row r="2" spans="1:16" s="8" customFormat="1" ht="28.5" x14ac:dyDescent="0.25">
      <c r="B2" s="29" t="s">
        <v>0</v>
      </c>
      <c r="C2" s="29" t="s">
        <v>1</v>
      </c>
      <c r="D2" s="29" t="s">
        <v>2</v>
      </c>
      <c r="E2" s="29" t="s">
        <v>3</v>
      </c>
      <c r="F2" s="29" t="s">
        <v>4</v>
      </c>
      <c r="G2" s="42" t="s">
        <v>5</v>
      </c>
      <c r="H2" s="29" t="s">
        <v>6</v>
      </c>
      <c r="I2" s="29" t="s">
        <v>7</v>
      </c>
      <c r="J2" s="29" t="s">
        <v>8</v>
      </c>
      <c r="K2" s="29" t="s">
        <v>9</v>
      </c>
      <c r="L2" s="29" t="s">
        <v>10</v>
      </c>
      <c r="M2" s="29" t="s">
        <v>11</v>
      </c>
      <c r="N2" s="29" t="s">
        <v>12</v>
      </c>
      <c r="O2" s="30" t="s">
        <v>13</v>
      </c>
      <c r="P2" s="30" t="s">
        <v>14</v>
      </c>
    </row>
    <row r="3" spans="1:16" x14ac:dyDescent="0.25">
      <c r="B3" s="31">
        <f t="shared" ref="B3:B34" si="0">ROW()-2</f>
        <v>1</v>
      </c>
      <c r="C3" s="11"/>
      <c r="D3" s="10" t="s">
        <v>15</v>
      </c>
      <c r="E3" s="10" t="s">
        <v>16</v>
      </c>
      <c r="F3" s="32" t="s">
        <v>17</v>
      </c>
      <c r="G3" s="47" t="s">
        <v>321</v>
      </c>
      <c r="H3" s="32" t="s">
        <v>18</v>
      </c>
      <c r="I3" s="33" t="s">
        <v>19</v>
      </c>
      <c r="J3" s="15" t="s">
        <v>20</v>
      </c>
      <c r="K3" s="15" t="s">
        <v>21</v>
      </c>
      <c r="L3" s="15" t="s">
        <v>22</v>
      </c>
      <c r="M3" s="34" t="s">
        <v>23</v>
      </c>
      <c r="N3" s="35"/>
      <c r="O3" s="32">
        <v>45558</v>
      </c>
      <c r="P3" s="32">
        <v>45930</v>
      </c>
    </row>
    <row r="4" spans="1:16" x14ac:dyDescent="0.25">
      <c r="B4" s="31">
        <f t="shared" si="0"/>
        <v>2</v>
      </c>
      <c r="C4" s="11"/>
      <c r="D4" s="9" t="s">
        <v>24</v>
      </c>
      <c r="E4" s="9" t="s">
        <v>25</v>
      </c>
      <c r="F4" s="32" t="s">
        <v>26</v>
      </c>
      <c r="G4" s="37"/>
      <c r="H4" s="36"/>
      <c r="I4" s="33" t="s">
        <v>27</v>
      </c>
      <c r="J4" s="15" t="s">
        <v>49</v>
      </c>
      <c r="K4" s="15" t="s">
        <v>28</v>
      </c>
      <c r="L4" s="15" t="s">
        <v>22</v>
      </c>
      <c r="M4" s="34" t="s">
        <v>23</v>
      </c>
      <c r="N4" s="35" t="s">
        <v>29</v>
      </c>
      <c r="O4" s="32"/>
      <c r="P4" s="32"/>
    </row>
    <row r="5" spans="1:16" x14ac:dyDescent="0.25">
      <c r="A5" s="54"/>
      <c r="B5" s="31">
        <f t="shared" si="0"/>
        <v>3</v>
      </c>
      <c r="C5" s="11"/>
      <c r="D5" s="9" t="s">
        <v>30</v>
      </c>
      <c r="E5" s="9" t="s">
        <v>31</v>
      </c>
      <c r="F5" s="32" t="s">
        <v>32</v>
      </c>
      <c r="G5" s="37"/>
      <c r="H5" s="32" t="s">
        <v>33</v>
      </c>
      <c r="I5" s="33" t="s">
        <v>19</v>
      </c>
      <c r="J5" s="15" t="s">
        <v>20</v>
      </c>
      <c r="K5" s="15" t="s">
        <v>22</v>
      </c>
      <c r="L5" s="15" t="s">
        <v>21</v>
      </c>
      <c r="M5" s="34" t="s">
        <v>34</v>
      </c>
      <c r="N5" s="35"/>
      <c r="O5" s="32"/>
      <c r="P5" s="15"/>
    </row>
    <row r="6" spans="1:16" x14ac:dyDescent="0.25">
      <c r="B6" s="31">
        <f t="shared" si="0"/>
        <v>4</v>
      </c>
      <c r="C6" s="11"/>
      <c r="D6" s="10" t="s">
        <v>35</v>
      </c>
      <c r="E6" s="10" t="s">
        <v>36</v>
      </c>
      <c r="F6" s="32" t="s">
        <v>37</v>
      </c>
      <c r="G6" s="48" t="s">
        <v>309</v>
      </c>
      <c r="H6" s="32" t="s">
        <v>38</v>
      </c>
      <c r="I6" s="33" t="s">
        <v>19</v>
      </c>
      <c r="J6" s="15" t="s">
        <v>39</v>
      </c>
      <c r="K6" s="15" t="s">
        <v>28</v>
      </c>
      <c r="L6" s="15" t="s">
        <v>22</v>
      </c>
      <c r="M6" s="34" t="s">
        <v>23</v>
      </c>
      <c r="N6" s="35"/>
      <c r="O6" s="32"/>
      <c r="P6" s="32">
        <v>46264</v>
      </c>
    </row>
    <row r="7" spans="1:16" x14ac:dyDescent="0.25">
      <c r="B7" s="31">
        <f t="shared" si="0"/>
        <v>5</v>
      </c>
      <c r="C7" s="11"/>
      <c r="D7" s="10" t="s">
        <v>40</v>
      </c>
      <c r="E7" s="10" t="s">
        <v>41</v>
      </c>
      <c r="F7" s="32" t="s">
        <v>42</v>
      </c>
      <c r="G7" s="48" t="s">
        <v>316</v>
      </c>
      <c r="H7" s="32" t="s">
        <v>43</v>
      </c>
      <c r="I7" s="33" t="s">
        <v>27</v>
      </c>
      <c r="J7" s="15" t="s">
        <v>39</v>
      </c>
      <c r="K7" s="15" t="s">
        <v>28</v>
      </c>
      <c r="L7" s="15" t="s">
        <v>44</v>
      </c>
      <c r="M7" s="34"/>
      <c r="N7" s="35"/>
      <c r="O7" s="32"/>
      <c r="P7" s="15"/>
    </row>
    <row r="8" spans="1:16" ht="16.5" customHeight="1" x14ac:dyDescent="0.25">
      <c r="B8" s="31">
        <f t="shared" si="0"/>
        <v>6</v>
      </c>
      <c r="C8" s="11"/>
      <c r="D8" s="9" t="s">
        <v>45</v>
      </c>
      <c r="E8" s="9" t="s">
        <v>46</v>
      </c>
      <c r="F8" s="32" t="s">
        <v>47</v>
      </c>
      <c r="G8" s="37"/>
      <c r="H8" s="32" t="s">
        <v>48</v>
      </c>
      <c r="I8" s="33" t="s">
        <v>19</v>
      </c>
      <c r="J8" s="15" t="s">
        <v>49</v>
      </c>
      <c r="K8" s="15" t="s">
        <v>44</v>
      </c>
      <c r="L8" s="15" t="s">
        <v>50</v>
      </c>
      <c r="M8" s="34"/>
      <c r="N8" s="35"/>
      <c r="O8" s="32"/>
      <c r="P8" s="15"/>
    </row>
    <row r="9" spans="1:16" ht="13.5" customHeight="1" x14ac:dyDescent="0.25">
      <c r="A9" s="54"/>
      <c r="B9" s="31">
        <f t="shared" si="0"/>
        <v>7</v>
      </c>
      <c r="C9" s="11"/>
      <c r="D9" s="9" t="s">
        <v>51</v>
      </c>
      <c r="E9" s="9" t="s">
        <v>52</v>
      </c>
      <c r="F9" s="32" t="s">
        <v>53</v>
      </c>
      <c r="G9" s="37"/>
      <c r="H9" s="32" t="s">
        <v>54</v>
      </c>
      <c r="I9" s="33" t="s">
        <v>19</v>
      </c>
      <c r="J9" s="15" t="s">
        <v>20</v>
      </c>
      <c r="K9" s="15" t="s">
        <v>55</v>
      </c>
      <c r="L9" s="15" t="s">
        <v>22</v>
      </c>
      <c r="M9" s="34"/>
      <c r="N9" s="35" t="s">
        <v>29</v>
      </c>
      <c r="O9" s="32"/>
      <c r="P9" s="15"/>
    </row>
    <row r="10" spans="1:16" x14ac:dyDescent="0.25">
      <c r="B10" s="31">
        <f t="shared" si="0"/>
        <v>8</v>
      </c>
      <c r="C10" s="11"/>
      <c r="D10" s="10" t="s">
        <v>56</v>
      </c>
      <c r="E10" s="10" t="s">
        <v>57</v>
      </c>
      <c r="F10" s="32" t="s">
        <v>58</v>
      </c>
      <c r="G10" s="47" t="s">
        <v>335</v>
      </c>
      <c r="H10" s="32" t="s">
        <v>59</v>
      </c>
      <c r="I10" s="33" t="s">
        <v>19</v>
      </c>
      <c r="J10" s="15" t="s">
        <v>49</v>
      </c>
      <c r="K10" s="15" t="s">
        <v>21</v>
      </c>
      <c r="L10" s="15" t="s">
        <v>50</v>
      </c>
      <c r="M10" s="34" t="s">
        <v>23</v>
      </c>
      <c r="N10" s="35"/>
      <c r="O10" s="32">
        <v>45782</v>
      </c>
      <c r="P10" s="32">
        <v>45899</v>
      </c>
    </row>
    <row r="11" spans="1:16" x14ac:dyDescent="0.25">
      <c r="B11" s="31">
        <f t="shared" si="0"/>
        <v>9</v>
      </c>
      <c r="C11" s="11"/>
      <c r="D11" s="10" t="s">
        <v>60</v>
      </c>
      <c r="E11" s="10" t="s">
        <v>16</v>
      </c>
      <c r="F11" s="32" t="s">
        <v>61</v>
      </c>
      <c r="G11" s="37"/>
      <c r="H11" s="32" t="s">
        <v>62</v>
      </c>
      <c r="I11" s="33" t="s">
        <v>19</v>
      </c>
      <c r="J11" s="15" t="s">
        <v>20</v>
      </c>
      <c r="K11" s="15" t="s">
        <v>21</v>
      </c>
      <c r="L11" s="15" t="s">
        <v>22</v>
      </c>
      <c r="M11" s="34" t="s">
        <v>23</v>
      </c>
      <c r="N11" s="35"/>
      <c r="O11" s="32">
        <v>45778</v>
      </c>
      <c r="P11" s="15"/>
    </row>
    <row r="12" spans="1:16" x14ac:dyDescent="0.25">
      <c r="B12" s="31">
        <f t="shared" si="0"/>
        <v>10</v>
      </c>
      <c r="C12" s="11"/>
      <c r="D12" s="10" t="s">
        <v>63</v>
      </c>
      <c r="E12" s="10" t="s">
        <v>64</v>
      </c>
      <c r="F12" s="32" t="s">
        <v>65</v>
      </c>
      <c r="G12" s="37"/>
      <c r="H12" s="32" t="s">
        <v>66</v>
      </c>
      <c r="I12" s="33" t="s">
        <v>19</v>
      </c>
      <c r="J12" s="15" t="s">
        <v>20</v>
      </c>
      <c r="K12" s="15" t="s">
        <v>28</v>
      </c>
      <c r="L12" s="15" t="s">
        <v>22</v>
      </c>
      <c r="M12" s="34"/>
      <c r="N12" s="35"/>
      <c r="O12" s="32"/>
      <c r="P12" s="32">
        <v>45860</v>
      </c>
    </row>
    <row r="13" spans="1:16" x14ac:dyDescent="0.25">
      <c r="B13" s="31">
        <f t="shared" si="0"/>
        <v>11</v>
      </c>
      <c r="C13" s="11"/>
      <c r="D13" s="10" t="s">
        <v>67</v>
      </c>
      <c r="E13" s="10" t="s">
        <v>68</v>
      </c>
      <c r="F13" s="32" t="s">
        <v>69</v>
      </c>
      <c r="G13" s="37"/>
      <c r="H13" s="32" t="s">
        <v>70</v>
      </c>
      <c r="I13" s="33" t="s">
        <v>19</v>
      </c>
      <c r="J13" s="15" t="s">
        <v>49</v>
      </c>
      <c r="K13" s="15" t="s">
        <v>50</v>
      </c>
      <c r="L13" s="15" t="s">
        <v>22</v>
      </c>
      <c r="M13" s="34" t="s">
        <v>23</v>
      </c>
      <c r="N13" s="35"/>
      <c r="O13" s="32"/>
      <c r="P13" s="32"/>
    </row>
    <row r="14" spans="1:16" x14ac:dyDescent="0.25">
      <c r="B14" s="31">
        <f t="shared" si="0"/>
        <v>12</v>
      </c>
      <c r="C14" s="11"/>
      <c r="D14" s="10" t="s">
        <v>71</v>
      </c>
      <c r="E14" s="10" t="s">
        <v>57</v>
      </c>
      <c r="F14" s="32" t="s">
        <v>72</v>
      </c>
      <c r="G14" s="37"/>
      <c r="H14" s="15">
        <v>3335055006</v>
      </c>
      <c r="I14" s="33" t="s">
        <v>27</v>
      </c>
      <c r="J14" s="15" t="s">
        <v>20</v>
      </c>
      <c r="K14" s="15" t="s">
        <v>44</v>
      </c>
      <c r="L14" s="15" t="s">
        <v>22</v>
      </c>
      <c r="M14" s="34" t="s">
        <v>73</v>
      </c>
      <c r="N14" s="35" t="s">
        <v>29</v>
      </c>
      <c r="O14" s="32"/>
      <c r="P14" s="32"/>
    </row>
    <row r="15" spans="1:16" x14ac:dyDescent="0.25">
      <c r="B15" s="31">
        <f t="shared" si="0"/>
        <v>13</v>
      </c>
      <c r="C15" s="11" t="s">
        <v>324</v>
      </c>
      <c r="D15" s="9" t="s">
        <v>71</v>
      </c>
      <c r="E15" s="9" t="s">
        <v>325</v>
      </c>
      <c r="F15" s="32" t="s">
        <v>326</v>
      </c>
      <c r="G15" s="37"/>
      <c r="H15" s="32"/>
      <c r="I15" s="33" t="s">
        <v>19</v>
      </c>
      <c r="J15" s="15" t="s">
        <v>20</v>
      </c>
      <c r="K15" s="15" t="s">
        <v>44</v>
      </c>
      <c r="L15" s="15"/>
      <c r="M15" s="34" t="s">
        <v>23</v>
      </c>
      <c r="N15" s="35"/>
      <c r="O15" s="32"/>
      <c r="P15" s="15"/>
    </row>
    <row r="16" spans="1:16" x14ac:dyDescent="0.25">
      <c r="B16" s="31">
        <f t="shared" si="0"/>
        <v>14</v>
      </c>
      <c r="C16" s="11"/>
      <c r="D16" s="9" t="s">
        <v>74</v>
      </c>
      <c r="E16" s="9" t="s">
        <v>75</v>
      </c>
      <c r="F16" s="32" t="s">
        <v>76</v>
      </c>
      <c r="G16" s="37"/>
      <c r="H16" s="32" t="s">
        <v>77</v>
      </c>
      <c r="I16" s="33" t="s">
        <v>19</v>
      </c>
      <c r="J16" s="15" t="s">
        <v>20</v>
      </c>
      <c r="K16" s="15" t="s">
        <v>21</v>
      </c>
      <c r="L16" s="15" t="s">
        <v>55</v>
      </c>
      <c r="M16" s="34" t="s">
        <v>23</v>
      </c>
      <c r="N16" s="35" t="s">
        <v>29</v>
      </c>
      <c r="O16" s="32"/>
      <c r="P16" s="32"/>
    </row>
    <row r="17" spans="2:16" x14ac:dyDescent="0.25">
      <c r="B17" s="31">
        <f t="shared" si="0"/>
        <v>15</v>
      </c>
      <c r="C17" s="11"/>
      <c r="D17" s="10" t="s">
        <v>78</v>
      </c>
      <c r="E17" s="10" t="s">
        <v>82</v>
      </c>
      <c r="F17" s="32" t="s">
        <v>83</v>
      </c>
      <c r="G17" s="37"/>
      <c r="H17" s="32" t="s">
        <v>84</v>
      </c>
      <c r="I17" s="33" t="s">
        <v>27</v>
      </c>
      <c r="J17" s="15" t="s">
        <v>20</v>
      </c>
      <c r="K17" s="15" t="s">
        <v>44</v>
      </c>
      <c r="L17" s="15" t="s">
        <v>55</v>
      </c>
      <c r="M17" s="34"/>
      <c r="N17" s="35"/>
      <c r="O17" s="32"/>
      <c r="P17" s="15"/>
    </row>
    <row r="18" spans="2:16" x14ac:dyDescent="0.25">
      <c r="B18" s="31">
        <f t="shared" si="0"/>
        <v>16</v>
      </c>
      <c r="C18" s="11"/>
      <c r="D18" s="10" t="s">
        <v>78</v>
      </c>
      <c r="E18" s="10" t="s">
        <v>79</v>
      </c>
      <c r="F18" s="32" t="s">
        <v>80</v>
      </c>
      <c r="G18" s="37"/>
      <c r="H18" s="32" t="s">
        <v>81</v>
      </c>
      <c r="I18" s="33" t="s">
        <v>19</v>
      </c>
      <c r="J18" s="15" t="s">
        <v>20</v>
      </c>
      <c r="K18" s="15" t="s">
        <v>50</v>
      </c>
      <c r="L18" s="15" t="s">
        <v>55</v>
      </c>
      <c r="M18" s="34" t="s">
        <v>23</v>
      </c>
      <c r="N18" s="35"/>
      <c r="O18" s="32"/>
      <c r="P18" s="32">
        <v>46172</v>
      </c>
    </row>
    <row r="19" spans="2:16" x14ac:dyDescent="0.25">
      <c r="B19" s="31">
        <f t="shared" si="0"/>
        <v>17</v>
      </c>
      <c r="C19" s="11"/>
      <c r="D19" s="10" t="s">
        <v>85</v>
      </c>
      <c r="E19" s="10" t="s">
        <v>86</v>
      </c>
      <c r="F19" s="32" t="s">
        <v>69</v>
      </c>
      <c r="G19" s="37"/>
      <c r="H19" s="36"/>
      <c r="I19" s="33" t="s">
        <v>19</v>
      </c>
      <c r="J19" s="15" t="s">
        <v>49</v>
      </c>
      <c r="K19" s="15" t="s">
        <v>28</v>
      </c>
      <c r="L19" s="15" t="s">
        <v>22</v>
      </c>
      <c r="M19" s="34" t="s">
        <v>23</v>
      </c>
      <c r="N19" s="35"/>
      <c r="O19" s="32">
        <v>45691</v>
      </c>
      <c r="P19" s="32">
        <v>45823</v>
      </c>
    </row>
    <row r="20" spans="2:16" x14ac:dyDescent="0.25">
      <c r="B20" s="31">
        <f t="shared" si="0"/>
        <v>18</v>
      </c>
      <c r="C20" s="11"/>
      <c r="D20" s="10" t="s">
        <v>87</v>
      </c>
      <c r="E20" s="10" t="s">
        <v>88</v>
      </c>
      <c r="F20" s="32" t="s">
        <v>89</v>
      </c>
      <c r="G20" s="37"/>
      <c r="H20" s="32" t="s">
        <v>90</v>
      </c>
      <c r="I20" s="33" t="s">
        <v>19</v>
      </c>
      <c r="J20" s="15" t="s">
        <v>49</v>
      </c>
      <c r="K20" s="15" t="s">
        <v>21</v>
      </c>
      <c r="L20" s="15" t="s">
        <v>44</v>
      </c>
      <c r="M20" s="34" t="s">
        <v>23</v>
      </c>
      <c r="N20" s="35"/>
      <c r="O20" s="32">
        <v>45790</v>
      </c>
      <c r="P20" s="32">
        <v>46052</v>
      </c>
    </row>
    <row r="21" spans="2:16" x14ac:dyDescent="0.25">
      <c r="B21" s="31">
        <f t="shared" si="0"/>
        <v>19</v>
      </c>
      <c r="C21" s="11"/>
      <c r="D21" s="9" t="s">
        <v>91</v>
      </c>
      <c r="E21" s="9" t="s">
        <v>92</v>
      </c>
      <c r="F21" s="32" t="s">
        <v>345</v>
      </c>
      <c r="G21" s="37"/>
      <c r="H21" s="32" t="s">
        <v>93</v>
      </c>
      <c r="I21" s="33" t="s">
        <v>19</v>
      </c>
      <c r="J21" s="15" t="s">
        <v>49</v>
      </c>
      <c r="K21" s="15" t="s">
        <v>44</v>
      </c>
      <c r="L21" s="15" t="s">
        <v>22</v>
      </c>
      <c r="M21" s="34" t="s">
        <v>23</v>
      </c>
      <c r="N21" s="35" t="s">
        <v>163</v>
      </c>
      <c r="O21" s="32">
        <v>45873</v>
      </c>
      <c r="P21" s="32">
        <v>45991</v>
      </c>
    </row>
    <row r="22" spans="2:16" x14ac:dyDescent="0.25">
      <c r="B22" s="31">
        <f t="shared" si="0"/>
        <v>20</v>
      </c>
      <c r="C22" s="11"/>
      <c r="D22" s="10" t="s">
        <v>94</v>
      </c>
      <c r="E22" s="10" t="s">
        <v>95</v>
      </c>
      <c r="F22" s="32" t="s">
        <v>96</v>
      </c>
      <c r="G22" s="52"/>
      <c r="H22" s="32" t="s">
        <v>97</v>
      </c>
      <c r="I22" s="33" t="s">
        <v>19</v>
      </c>
      <c r="J22" s="15" t="s">
        <v>20</v>
      </c>
      <c r="K22" s="15" t="s">
        <v>55</v>
      </c>
      <c r="L22" s="15" t="s">
        <v>50</v>
      </c>
      <c r="M22" s="34" t="s">
        <v>23</v>
      </c>
      <c r="N22" s="35" t="s">
        <v>29</v>
      </c>
      <c r="O22" s="32"/>
      <c r="P22" s="15"/>
    </row>
    <row r="23" spans="2:16" x14ac:dyDescent="0.25">
      <c r="B23" s="31">
        <f t="shared" si="0"/>
        <v>21</v>
      </c>
      <c r="C23" s="11"/>
      <c r="D23" s="10" t="s">
        <v>98</v>
      </c>
      <c r="E23" s="10" t="s">
        <v>46</v>
      </c>
      <c r="F23" s="32" t="s">
        <v>99</v>
      </c>
      <c r="G23" s="41" t="s">
        <v>317</v>
      </c>
      <c r="H23" s="32" t="s">
        <v>100</v>
      </c>
      <c r="I23" s="33" t="s">
        <v>19</v>
      </c>
      <c r="J23" s="15" t="s">
        <v>20</v>
      </c>
      <c r="K23" s="15" t="s">
        <v>44</v>
      </c>
      <c r="L23" s="15" t="s">
        <v>55</v>
      </c>
      <c r="M23" s="34" t="s">
        <v>34</v>
      </c>
      <c r="N23" s="35"/>
      <c r="O23" s="32"/>
      <c r="P23" s="15"/>
    </row>
    <row r="24" spans="2:16" x14ac:dyDescent="0.25">
      <c r="B24" s="31">
        <f t="shared" si="0"/>
        <v>22</v>
      </c>
      <c r="C24" s="11"/>
      <c r="D24" s="10" t="s">
        <v>101</v>
      </c>
      <c r="E24" s="10" t="s">
        <v>88</v>
      </c>
      <c r="F24" s="32" t="s">
        <v>102</v>
      </c>
      <c r="G24" s="37"/>
      <c r="H24" s="32" t="s">
        <v>103</v>
      </c>
      <c r="I24" s="33" t="s">
        <v>19</v>
      </c>
      <c r="J24" s="15" t="s">
        <v>20</v>
      </c>
      <c r="K24" s="15" t="s">
        <v>21</v>
      </c>
      <c r="L24" s="15" t="s">
        <v>50</v>
      </c>
      <c r="M24" s="34" t="s">
        <v>23</v>
      </c>
      <c r="N24" s="35" t="s">
        <v>29</v>
      </c>
      <c r="O24" s="32"/>
      <c r="P24" s="15"/>
    </row>
    <row r="25" spans="2:16" x14ac:dyDescent="0.25">
      <c r="B25" s="31">
        <f t="shared" si="0"/>
        <v>23</v>
      </c>
      <c r="C25" s="10" t="s">
        <v>104</v>
      </c>
      <c r="D25" s="9" t="s">
        <v>101</v>
      </c>
      <c r="E25" s="9" t="s">
        <v>88</v>
      </c>
      <c r="F25" s="32" t="s">
        <v>105</v>
      </c>
      <c r="G25" s="37"/>
      <c r="H25" s="37" t="s">
        <v>103</v>
      </c>
      <c r="I25" s="33" t="s">
        <v>19</v>
      </c>
      <c r="J25" s="15" t="s">
        <v>20</v>
      </c>
      <c r="K25" s="15" t="s">
        <v>28</v>
      </c>
      <c r="L25" s="15" t="s">
        <v>21</v>
      </c>
      <c r="M25" s="34" t="s">
        <v>34</v>
      </c>
      <c r="N25" s="35"/>
      <c r="O25" s="32"/>
      <c r="P25" s="15"/>
    </row>
    <row r="26" spans="2:16" x14ac:dyDescent="0.25">
      <c r="B26" s="31">
        <f t="shared" si="0"/>
        <v>24</v>
      </c>
      <c r="C26" s="11"/>
      <c r="D26" s="10" t="s">
        <v>106</v>
      </c>
      <c r="E26" s="10" t="s">
        <v>107</v>
      </c>
      <c r="F26" s="32" t="s">
        <v>108</v>
      </c>
      <c r="G26" s="37"/>
      <c r="H26" s="32" t="s">
        <v>109</v>
      </c>
      <c r="I26" s="33" t="s">
        <v>19</v>
      </c>
      <c r="J26" s="15" t="s">
        <v>49</v>
      </c>
      <c r="K26" s="15" t="s">
        <v>28</v>
      </c>
      <c r="L26" s="15" t="s">
        <v>50</v>
      </c>
      <c r="M26" s="34" t="s">
        <v>23</v>
      </c>
      <c r="N26" s="35"/>
      <c r="O26" s="32"/>
      <c r="P26" s="32">
        <v>45807</v>
      </c>
    </row>
    <row r="27" spans="2:16" ht="27" x14ac:dyDescent="0.25">
      <c r="B27" s="31">
        <f t="shared" si="0"/>
        <v>25</v>
      </c>
      <c r="C27" s="10" t="s">
        <v>110</v>
      </c>
      <c r="D27" s="9" t="s">
        <v>111</v>
      </c>
      <c r="E27" s="10" t="s">
        <v>112</v>
      </c>
      <c r="F27" s="32" t="s">
        <v>113</v>
      </c>
      <c r="G27" s="50" t="s">
        <v>313</v>
      </c>
      <c r="H27" s="32" t="s">
        <v>114</v>
      </c>
      <c r="I27" s="33" t="s">
        <v>19</v>
      </c>
      <c r="J27" s="15" t="s">
        <v>39</v>
      </c>
      <c r="K27" s="15" t="s">
        <v>28</v>
      </c>
      <c r="L27" s="15" t="s">
        <v>50</v>
      </c>
      <c r="M27" s="34" t="s">
        <v>23</v>
      </c>
      <c r="N27" s="35"/>
      <c r="O27" s="32"/>
      <c r="P27" s="32">
        <v>46053</v>
      </c>
    </row>
    <row r="28" spans="2:16" x14ac:dyDescent="0.25">
      <c r="B28" s="31">
        <f t="shared" si="0"/>
        <v>26</v>
      </c>
      <c r="C28" s="13" t="s">
        <v>115</v>
      </c>
      <c r="D28" s="10" t="s">
        <v>116</v>
      </c>
      <c r="E28" s="10" t="s">
        <v>117</v>
      </c>
      <c r="F28" s="32" t="s">
        <v>118</v>
      </c>
      <c r="G28" s="41" t="s">
        <v>308</v>
      </c>
      <c r="H28" s="32" t="s">
        <v>119</v>
      </c>
      <c r="I28" s="33" t="s">
        <v>19</v>
      </c>
      <c r="J28" s="15" t="s">
        <v>39</v>
      </c>
      <c r="K28" s="15" t="s">
        <v>28</v>
      </c>
      <c r="L28" s="15" t="s">
        <v>50</v>
      </c>
      <c r="M28" s="34" t="s">
        <v>23</v>
      </c>
      <c r="N28" s="35"/>
      <c r="O28" s="32">
        <v>44518</v>
      </c>
      <c r="P28" s="32">
        <v>45879</v>
      </c>
    </row>
    <row r="29" spans="2:16" x14ac:dyDescent="0.25">
      <c r="B29" s="31">
        <f t="shared" si="0"/>
        <v>27</v>
      </c>
      <c r="C29" s="13" t="s">
        <v>115</v>
      </c>
      <c r="D29" s="10" t="s">
        <v>116</v>
      </c>
      <c r="E29" s="10" t="s">
        <v>117</v>
      </c>
      <c r="F29" s="32" t="s">
        <v>121</v>
      </c>
      <c r="G29" s="41" t="s">
        <v>308</v>
      </c>
      <c r="H29" s="32" t="s">
        <v>119</v>
      </c>
      <c r="I29" s="33" t="s">
        <v>27</v>
      </c>
      <c r="J29" s="15" t="s">
        <v>49</v>
      </c>
      <c r="K29" s="15" t="s">
        <v>28</v>
      </c>
      <c r="L29" s="15" t="s">
        <v>50</v>
      </c>
      <c r="M29" s="34" t="s">
        <v>23</v>
      </c>
      <c r="N29" s="35"/>
      <c r="O29" s="32">
        <v>44518</v>
      </c>
      <c r="P29" s="15"/>
    </row>
    <row r="30" spans="2:16" x14ac:dyDescent="0.25">
      <c r="B30" s="31">
        <f t="shared" si="0"/>
        <v>28</v>
      </c>
      <c r="C30" s="13" t="s">
        <v>115</v>
      </c>
      <c r="D30" s="10" t="s">
        <v>116</v>
      </c>
      <c r="E30" s="10" t="s">
        <v>117</v>
      </c>
      <c r="F30" s="32" t="s">
        <v>120</v>
      </c>
      <c r="G30" s="41" t="s">
        <v>308</v>
      </c>
      <c r="H30" s="32" t="s">
        <v>119</v>
      </c>
      <c r="I30" s="33" t="s">
        <v>19</v>
      </c>
      <c r="J30" s="15" t="s">
        <v>49</v>
      </c>
      <c r="K30" s="15" t="s">
        <v>28</v>
      </c>
      <c r="L30" s="15" t="s">
        <v>50</v>
      </c>
      <c r="M30" s="34" t="s">
        <v>23</v>
      </c>
      <c r="N30" s="35"/>
      <c r="O30" s="32">
        <v>44518</v>
      </c>
      <c r="P30" s="15"/>
    </row>
    <row r="31" spans="2:16" x14ac:dyDescent="0.25">
      <c r="B31" s="31">
        <f t="shared" si="0"/>
        <v>29</v>
      </c>
      <c r="C31" s="11"/>
      <c r="D31" s="10" t="s">
        <v>122</v>
      </c>
      <c r="E31" s="10" t="s">
        <v>123</v>
      </c>
      <c r="F31" s="32" t="s">
        <v>124</v>
      </c>
      <c r="G31" s="37"/>
      <c r="H31" s="32" t="s">
        <v>125</v>
      </c>
      <c r="I31" s="33" t="s">
        <v>27</v>
      </c>
      <c r="J31" s="15" t="s">
        <v>20</v>
      </c>
      <c r="K31" s="15" t="s">
        <v>44</v>
      </c>
      <c r="L31" s="15" t="s">
        <v>50</v>
      </c>
      <c r="M31" s="34" t="s">
        <v>23</v>
      </c>
      <c r="N31" s="35"/>
      <c r="O31" s="32"/>
      <c r="P31" s="15"/>
    </row>
    <row r="32" spans="2:16" x14ac:dyDescent="0.25">
      <c r="B32" s="31">
        <f t="shared" si="0"/>
        <v>30</v>
      </c>
      <c r="C32" s="13" t="s">
        <v>115</v>
      </c>
      <c r="D32" s="10" t="s">
        <v>116</v>
      </c>
      <c r="E32" s="10" t="s">
        <v>117</v>
      </c>
      <c r="F32" s="32" t="s">
        <v>121</v>
      </c>
      <c r="G32" s="41" t="s">
        <v>308</v>
      </c>
      <c r="H32" s="32" t="s">
        <v>334</v>
      </c>
      <c r="I32" s="33" t="s">
        <v>19</v>
      </c>
      <c r="J32" s="15" t="s">
        <v>49</v>
      </c>
      <c r="K32" s="15" t="s">
        <v>28</v>
      </c>
      <c r="L32" s="15" t="s">
        <v>50</v>
      </c>
      <c r="M32" s="34" t="s">
        <v>23</v>
      </c>
      <c r="N32" s="35"/>
      <c r="O32" s="32">
        <v>45904</v>
      </c>
      <c r="P32" s="32">
        <v>45961</v>
      </c>
    </row>
    <row r="33" spans="1:16" x14ac:dyDescent="0.25">
      <c r="A33" s="54"/>
      <c r="B33" s="31">
        <f t="shared" si="0"/>
        <v>31</v>
      </c>
      <c r="C33" s="11"/>
      <c r="D33" s="9" t="s">
        <v>126</v>
      </c>
      <c r="E33" s="9" t="s">
        <v>127</v>
      </c>
      <c r="F33" s="32"/>
      <c r="G33" s="52"/>
      <c r="H33" s="32" t="s">
        <v>128</v>
      </c>
      <c r="I33" s="33" t="s">
        <v>19</v>
      </c>
      <c r="J33" s="15" t="s">
        <v>20</v>
      </c>
      <c r="K33" s="15" t="s">
        <v>21</v>
      </c>
      <c r="L33" s="15" t="s">
        <v>50</v>
      </c>
      <c r="M33" s="34"/>
      <c r="N33" s="35"/>
      <c r="O33" s="32"/>
      <c r="P33" s="15"/>
    </row>
    <row r="34" spans="1:16" x14ac:dyDescent="0.25">
      <c r="B34" s="31">
        <f t="shared" si="0"/>
        <v>32</v>
      </c>
      <c r="C34" s="11"/>
      <c r="D34" s="9" t="s">
        <v>129</v>
      </c>
      <c r="E34" s="9" t="s">
        <v>130</v>
      </c>
      <c r="F34" s="32" t="s">
        <v>131</v>
      </c>
      <c r="G34" s="41" t="s">
        <v>314</v>
      </c>
      <c r="H34" s="32" t="s">
        <v>132</v>
      </c>
      <c r="I34" s="33" t="s">
        <v>27</v>
      </c>
      <c r="J34" s="15" t="s">
        <v>49</v>
      </c>
      <c r="K34" s="15" t="s">
        <v>44</v>
      </c>
      <c r="L34" s="15" t="s">
        <v>55</v>
      </c>
      <c r="M34" s="34" t="s">
        <v>23</v>
      </c>
      <c r="N34" s="35" t="s">
        <v>29</v>
      </c>
      <c r="O34" s="32"/>
      <c r="P34" s="15"/>
    </row>
    <row r="35" spans="1:16" x14ac:dyDescent="0.25">
      <c r="B35" s="31">
        <f t="shared" ref="B35:B66" si="1">ROW()-2</f>
        <v>33</v>
      </c>
      <c r="C35" s="11"/>
      <c r="D35" s="10" t="s">
        <v>136</v>
      </c>
      <c r="E35" s="10" t="s">
        <v>130</v>
      </c>
      <c r="F35" s="32" t="s">
        <v>83</v>
      </c>
      <c r="G35" s="37"/>
      <c r="H35" s="32" t="s">
        <v>137</v>
      </c>
      <c r="I35" s="33" t="s">
        <v>27</v>
      </c>
      <c r="J35" s="15" t="s">
        <v>20</v>
      </c>
      <c r="K35" s="15" t="s">
        <v>28</v>
      </c>
      <c r="L35" s="15" t="s">
        <v>21</v>
      </c>
      <c r="M35" s="34" t="s">
        <v>23</v>
      </c>
      <c r="N35" s="35" t="s">
        <v>29</v>
      </c>
      <c r="O35" s="32"/>
      <c r="P35" s="15"/>
    </row>
    <row r="36" spans="1:16" x14ac:dyDescent="0.25">
      <c r="B36" s="31">
        <f t="shared" si="1"/>
        <v>34</v>
      </c>
      <c r="C36" s="11"/>
      <c r="D36" s="10" t="s">
        <v>133</v>
      </c>
      <c r="E36" s="10" t="s">
        <v>88</v>
      </c>
      <c r="F36" s="32" t="s">
        <v>134</v>
      </c>
      <c r="G36" s="37"/>
      <c r="H36" s="32" t="s">
        <v>135</v>
      </c>
      <c r="I36" s="33" t="s">
        <v>19</v>
      </c>
      <c r="J36" s="15" t="s">
        <v>49</v>
      </c>
      <c r="K36" s="15" t="s">
        <v>21</v>
      </c>
      <c r="L36" s="15" t="s">
        <v>44</v>
      </c>
      <c r="M36" s="34" t="s">
        <v>34</v>
      </c>
      <c r="N36" s="35"/>
      <c r="O36" s="32"/>
      <c r="P36" s="15"/>
    </row>
    <row r="37" spans="1:16" x14ac:dyDescent="0.25">
      <c r="B37" s="31">
        <f t="shared" si="1"/>
        <v>35</v>
      </c>
      <c r="C37" s="11"/>
      <c r="D37" s="10" t="s">
        <v>138</v>
      </c>
      <c r="E37" s="10" t="s">
        <v>57</v>
      </c>
      <c r="F37" s="32" t="s">
        <v>139</v>
      </c>
      <c r="G37" s="37"/>
      <c r="H37" s="32" t="s">
        <v>140</v>
      </c>
      <c r="I37" s="33" t="s">
        <v>19</v>
      </c>
      <c r="J37" s="15" t="s">
        <v>49</v>
      </c>
      <c r="K37" s="15" t="s">
        <v>44</v>
      </c>
      <c r="L37" s="15" t="s">
        <v>22</v>
      </c>
      <c r="M37" s="34" t="s">
        <v>23</v>
      </c>
      <c r="N37" s="35"/>
      <c r="O37" s="32">
        <v>45740</v>
      </c>
      <c r="P37" s="32">
        <v>45869</v>
      </c>
    </row>
    <row r="38" spans="1:16" x14ac:dyDescent="0.25">
      <c r="B38" s="31">
        <f t="shared" si="1"/>
        <v>36</v>
      </c>
      <c r="C38" s="11"/>
      <c r="D38" s="9" t="s">
        <v>141</v>
      </c>
      <c r="E38" s="9" t="s">
        <v>142</v>
      </c>
      <c r="F38" s="32" t="s">
        <v>143</v>
      </c>
      <c r="G38" s="37"/>
      <c r="H38" s="32" t="s">
        <v>144</v>
      </c>
      <c r="I38" s="33" t="s">
        <v>19</v>
      </c>
      <c r="J38" s="15" t="s">
        <v>347</v>
      </c>
      <c r="K38" s="15" t="s">
        <v>21</v>
      </c>
      <c r="L38" s="15" t="s">
        <v>22</v>
      </c>
      <c r="M38" s="34" t="s">
        <v>34</v>
      </c>
      <c r="N38" s="35"/>
      <c r="O38" s="32"/>
      <c r="P38" s="15"/>
    </row>
    <row r="39" spans="1:16" x14ac:dyDescent="0.25">
      <c r="B39" s="31">
        <f t="shared" si="1"/>
        <v>37</v>
      </c>
      <c r="C39" s="11"/>
      <c r="D39" s="9" t="s">
        <v>337</v>
      </c>
      <c r="E39" s="9" t="s">
        <v>338</v>
      </c>
      <c r="F39" s="32" t="s">
        <v>339</v>
      </c>
      <c r="G39" s="43"/>
      <c r="H39" s="32" t="s">
        <v>340</v>
      </c>
      <c r="I39" s="33" t="s">
        <v>19</v>
      </c>
      <c r="J39" s="15" t="s">
        <v>20</v>
      </c>
      <c r="K39" s="15" t="s">
        <v>44</v>
      </c>
      <c r="L39" s="15" t="s">
        <v>22</v>
      </c>
      <c r="M39" s="34" t="s">
        <v>23</v>
      </c>
      <c r="N39" s="35"/>
      <c r="O39" s="32">
        <v>45915</v>
      </c>
      <c r="P39" s="32">
        <v>45947</v>
      </c>
    </row>
    <row r="40" spans="1:16" x14ac:dyDescent="0.25">
      <c r="B40" s="31">
        <f t="shared" si="1"/>
        <v>38</v>
      </c>
      <c r="C40" s="11"/>
      <c r="D40" s="10" t="s">
        <v>145</v>
      </c>
      <c r="E40" s="10" t="s">
        <v>146</v>
      </c>
      <c r="F40" s="32" t="s">
        <v>147</v>
      </c>
      <c r="G40" s="37"/>
      <c r="H40" s="32" t="s">
        <v>148</v>
      </c>
      <c r="I40" s="33" t="s">
        <v>19</v>
      </c>
      <c r="J40" s="15" t="s">
        <v>20</v>
      </c>
      <c r="K40" s="15" t="s">
        <v>50</v>
      </c>
      <c r="L40" s="15" t="s">
        <v>21</v>
      </c>
      <c r="M40" s="34"/>
      <c r="N40" s="35"/>
      <c r="O40" s="32"/>
      <c r="P40" s="15"/>
    </row>
    <row r="41" spans="1:16" x14ac:dyDescent="0.25">
      <c r="B41" s="31">
        <f t="shared" si="1"/>
        <v>39</v>
      </c>
      <c r="C41" s="11"/>
      <c r="D41" s="10" t="s">
        <v>149</v>
      </c>
      <c r="E41" s="10" t="s">
        <v>150</v>
      </c>
      <c r="F41" s="32" t="s">
        <v>69</v>
      </c>
      <c r="G41" s="37"/>
      <c r="H41" s="32"/>
      <c r="I41" s="33" t="s">
        <v>19</v>
      </c>
      <c r="J41" s="15" t="s">
        <v>49</v>
      </c>
      <c r="K41" s="15" t="s">
        <v>28</v>
      </c>
      <c r="L41" s="15" t="s">
        <v>44</v>
      </c>
      <c r="M41" s="34" t="s">
        <v>23</v>
      </c>
      <c r="N41" s="35"/>
      <c r="O41" s="32"/>
      <c r="P41" s="15"/>
    </row>
    <row r="42" spans="1:16" x14ac:dyDescent="0.25">
      <c r="B42" s="31">
        <f t="shared" si="1"/>
        <v>40</v>
      </c>
      <c r="C42" s="11"/>
      <c r="D42" s="9" t="s">
        <v>151</v>
      </c>
      <c r="E42" s="9" t="s">
        <v>95</v>
      </c>
      <c r="F42" s="32" t="s">
        <v>152</v>
      </c>
      <c r="G42" s="37"/>
      <c r="H42" s="32" t="s">
        <v>153</v>
      </c>
      <c r="I42" s="33" t="s">
        <v>27</v>
      </c>
      <c r="J42" s="15" t="s">
        <v>49</v>
      </c>
      <c r="K42" s="15" t="s">
        <v>21</v>
      </c>
      <c r="L42" s="15" t="s">
        <v>22</v>
      </c>
      <c r="M42" s="34" t="s">
        <v>23</v>
      </c>
      <c r="N42" s="35" t="s">
        <v>29</v>
      </c>
      <c r="O42" s="32">
        <v>45839</v>
      </c>
      <c r="P42" s="32">
        <v>45961</v>
      </c>
    </row>
    <row r="43" spans="1:16" x14ac:dyDescent="0.25">
      <c r="B43" s="31">
        <f t="shared" si="1"/>
        <v>41</v>
      </c>
      <c r="C43" s="10" t="s">
        <v>154</v>
      </c>
      <c r="D43" s="9" t="s">
        <v>155</v>
      </c>
      <c r="E43" s="10" t="s">
        <v>156</v>
      </c>
      <c r="F43" s="32" t="s">
        <v>157</v>
      </c>
      <c r="G43" s="37"/>
      <c r="H43" s="32"/>
      <c r="I43" s="33" t="s">
        <v>19</v>
      </c>
      <c r="J43" s="15" t="s">
        <v>39</v>
      </c>
      <c r="K43" s="15" t="s">
        <v>28</v>
      </c>
      <c r="L43" s="15" t="s">
        <v>44</v>
      </c>
      <c r="M43" s="34" t="s">
        <v>23</v>
      </c>
      <c r="N43" s="35"/>
      <c r="O43" s="32"/>
      <c r="P43" s="15"/>
    </row>
    <row r="44" spans="1:16" x14ac:dyDescent="0.25">
      <c r="B44" s="31">
        <f t="shared" si="1"/>
        <v>42</v>
      </c>
      <c r="C44" s="11"/>
      <c r="D44" s="9" t="s">
        <v>327</v>
      </c>
      <c r="E44" s="9" t="s">
        <v>36</v>
      </c>
      <c r="F44" s="32"/>
      <c r="G44" s="37"/>
      <c r="H44" s="32" t="s">
        <v>328</v>
      </c>
      <c r="I44" s="33" t="s">
        <v>27</v>
      </c>
      <c r="J44" s="15" t="s">
        <v>49</v>
      </c>
      <c r="K44" s="15" t="s">
        <v>44</v>
      </c>
      <c r="L44" s="15" t="s">
        <v>22</v>
      </c>
      <c r="M44" s="34" t="s">
        <v>23</v>
      </c>
      <c r="N44" s="35" t="s">
        <v>29</v>
      </c>
      <c r="O44" s="32"/>
      <c r="P44" s="15"/>
    </row>
    <row r="45" spans="1:16" x14ac:dyDescent="0.25">
      <c r="B45" s="31">
        <f t="shared" si="1"/>
        <v>43</v>
      </c>
      <c r="C45" s="11"/>
      <c r="D45" s="9" t="s">
        <v>158</v>
      </c>
      <c r="E45" s="9" t="s">
        <v>159</v>
      </c>
      <c r="F45" s="32" t="s">
        <v>143</v>
      </c>
      <c r="G45" s="37"/>
      <c r="H45" s="32"/>
      <c r="I45" s="33" t="s">
        <v>19</v>
      </c>
      <c r="J45" s="15" t="s">
        <v>20</v>
      </c>
      <c r="K45" s="15" t="s">
        <v>28</v>
      </c>
      <c r="L45" s="15" t="s">
        <v>22</v>
      </c>
      <c r="M45" s="34"/>
      <c r="N45" s="35"/>
      <c r="O45" s="32"/>
      <c r="P45" s="15"/>
    </row>
    <row r="46" spans="1:16" x14ac:dyDescent="0.25">
      <c r="B46" s="31">
        <f t="shared" si="1"/>
        <v>44</v>
      </c>
      <c r="C46" s="11"/>
      <c r="D46" s="10" t="s">
        <v>160</v>
      </c>
      <c r="E46" s="10" t="s">
        <v>52</v>
      </c>
      <c r="F46" s="32" t="s">
        <v>161</v>
      </c>
      <c r="G46" s="37"/>
      <c r="H46" s="32" t="s">
        <v>162</v>
      </c>
      <c r="I46" s="33" t="s">
        <v>19</v>
      </c>
      <c r="J46" s="15" t="s">
        <v>347</v>
      </c>
      <c r="K46" s="15" t="s">
        <v>22</v>
      </c>
      <c r="L46" s="15" t="s">
        <v>55</v>
      </c>
      <c r="M46" s="34" t="s">
        <v>23</v>
      </c>
      <c r="N46" s="35" t="s">
        <v>163</v>
      </c>
      <c r="O46" s="32"/>
      <c r="P46" s="15"/>
    </row>
    <row r="47" spans="1:16" x14ac:dyDescent="0.25">
      <c r="B47" s="31">
        <f t="shared" si="1"/>
        <v>45</v>
      </c>
      <c r="C47" s="11"/>
      <c r="D47" s="10" t="s">
        <v>174</v>
      </c>
      <c r="E47" s="10" t="s">
        <v>175</v>
      </c>
      <c r="F47" s="32" t="s">
        <v>83</v>
      </c>
      <c r="G47" s="37"/>
      <c r="H47" s="32" t="s">
        <v>176</v>
      </c>
      <c r="I47" s="33" t="s">
        <v>27</v>
      </c>
      <c r="J47" s="15" t="s">
        <v>20</v>
      </c>
      <c r="K47" s="15" t="s">
        <v>22</v>
      </c>
      <c r="L47" s="15" t="s">
        <v>44</v>
      </c>
      <c r="M47" s="34" t="s">
        <v>23</v>
      </c>
      <c r="N47" s="35" t="s">
        <v>29</v>
      </c>
      <c r="O47" s="32"/>
      <c r="P47" s="15"/>
    </row>
    <row r="48" spans="1:16" x14ac:dyDescent="0.25">
      <c r="B48" s="31">
        <f t="shared" si="1"/>
        <v>46</v>
      </c>
      <c r="C48" s="11"/>
      <c r="D48" s="10" t="s">
        <v>164</v>
      </c>
      <c r="E48" s="10" t="s">
        <v>165</v>
      </c>
      <c r="F48" s="32" t="s">
        <v>166</v>
      </c>
      <c r="G48" s="52"/>
      <c r="H48" s="32" t="s">
        <v>167</v>
      </c>
      <c r="I48" s="33" t="s">
        <v>19</v>
      </c>
      <c r="J48" s="15" t="s">
        <v>49</v>
      </c>
      <c r="K48" s="15" t="s">
        <v>28</v>
      </c>
      <c r="L48" s="15" t="s">
        <v>22</v>
      </c>
      <c r="M48" s="34" t="s">
        <v>23</v>
      </c>
      <c r="N48" s="35"/>
      <c r="O48" s="32">
        <v>45789</v>
      </c>
      <c r="P48" s="15"/>
    </row>
    <row r="49" spans="2:16" x14ac:dyDescent="0.25">
      <c r="B49" s="31">
        <f t="shared" si="1"/>
        <v>47</v>
      </c>
      <c r="C49" s="11"/>
      <c r="D49" s="10" t="s">
        <v>168</v>
      </c>
      <c r="E49" s="10" t="s">
        <v>169</v>
      </c>
      <c r="F49" s="32" t="s">
        <v>170</v>
      </c>
      <c r="G49" s="37"/>
      <c r="H49" s="32"/>
      <c r="I49" s="33" t="s">
        <v>27</v>
      </c>
      <c r="J49" s="15" t="s">
        <v>49</v>
      </c>
      <c r="K49" s="15" t="s">
        <v>21</v>
      </c>
      <c r="L49" s="15" t="s">
        <v>44</v>
      </c>
      <c r="M49" s="34" t="s">
        <v>23</v>
      </c>
      <c r="N49" s="35" t="s">
        <v>163</v>
      </c>
      <c r="O49" s="32">
        <v>45796</v>
      </c>
      <c r="P49" s="32">
        <v>45991</v>
      </c>
    </row>
    <row r="50" spans="2:16" x14ac:dyDescent="0.25">
      <c r="B50" s="31">
        <f t="shared" si="1"/>
        <v>48</v>
      </c>
      <c r="C50" s="11"/>
      <c r="D50" s="10" t="s">
        <v>177</v>
      </c>
      <c r="E50" s="10" t="s">
        <v>178</v>
      </c>
      <c r="F50" s="32" t="s">
        <v>179</v>
      </c>
      <c r="G50" s="48" t="s">
        <v>311</v>
      </c>
      <c r="H50" s="32" t="s">
        <v>180</v>
      </c>
      <c r="I50" s="33" t="s">
        <v>19</v>
      </c>
      <c r="J50" s="15" t="s">
        <v>20</v>
      </c>
      <c r="K50" s="15" t="s">
        <v>21</v>
      </c>
      <c r="L50" s="15" t="s">
        <v>55</v>
      </c>
      <c r="M50" s="34" t="s">
        <v>23</v>
      </c>
      <c r="N50" s="35" t="s">
        <v>29</v>
      </c>
      <c r="O50" s="32"/>
      <c r="P50" s="15"/>
    </row>
    <row r="51" spans="2:16" x14ac:dyDescent="0.25">
      <c r="B51" s="31">
        <f t="shared" si="1"/>
        <v>49</v>
      </c>
      <c r="C51" s="10" t="s">
        <v>181</v>
      </c>
      <c r="D51" s="9" t="s">
        <v>177</v>
      </c>
      <c r="E51" s="10" t="s">
        <v>57</v>
      </c>
      <c r="F51" s="32" t="s">
        <v>182</v>
      </c>
      <c r="G51" s="37"/>
      <c r="H51" s="32" t="s">
        <v>183</v>
      </c>
      <c r="I51" s="33" t="s">
        <v>19</v>
      </c>
      <c r="J51" s="15" t="s">
        <v>49</v>
      </c>
      <c r="K51" s="15" t="s">
        <v>28</v>
      </c>
      <c r="L51" s="15" t="s">
        <v>44</v>
      </c>
      <c r="M51" s="34" t="s">
        <v>23</v>
      </c>
      <c r="N51" s="35"/>
      <c r="O51" s="32"/>
      <c r="P51" s="15"/>
    </row>
    <row r="52" spans="2:16" x14ac:dyDescent="0.25">
      <c r="B52" s="31">
        <f t="shared" si="1"/>
        <v>50</v>
      </c>
      <c r="C52" s="11"/>
      <c r="D52" s="10" t="s">
        <v>184</v>
      </c>
      <c r="E52" s="10" t="s">
        <v>185</v>
      </c>
      <c r="F52" s="32" t="s">
        <v>186</v>
      </c>
      <c r="G52" s="53" t="s">
        <v>336</v>
      </c>
      <c r="H52" s="32" t="s">
        <v>187</v>
      </c>
      <c r="I52" s="33" t="s">
        <v>19</v>
      </c>
      <c r="J52" s="15" t="s">
        <v>20</v>
      </c>
      <c r="K52" s="15" t="s">
        <v>44</v>
      </c>
      <c r="L52" s="15" t="s">
        <v>50</v>
      </c>
      <c r="M52" s="34" t="s">
        <v>23</v>
      </c>
      <c r="N52" s="35"/>
      <c r="O52" s="32"/>
      <c r="P52" s="32">
        <v>45838</v>
      </c>
    </row>
    <row r="53" spans="2:16" ht="14.25" customHeight="1" x14ac:dyDescent="0.25">
      <c r="B53" s="31">
        <f t="shared" si="1"/>
        <v>51</v>
      </c>
      <c r="C53" s="11"/>
      <c r="D53" s="10" t="s">
        <v>188</v>
      </c>
      <c r="E53" s="10" t="s">
        <v>189</v>
      </c>
      <c r="F53" s="32" t="s">
        <v>190</v>
      </c>
      <c r="G53" s="52"/>
      <c r="H53" s="32" t="s">
        <v>191</v>
      </c>
      <c r="I53" s="33" t="s">
        <v>19</v>
      </c>
      <c r="J53" s="15" t="s">
        <v>20</v>
      </c>
      <c r="K53" s="15" t="s">
        <v>21</v>
      </c>
      <c r="L53" s="15" t="s">
        <v>22</v>
      </c>
      <c r="M53" s="34" t="s">
        <v>23</v>
      </c>
      <c r="N53" s="35"/>
      <c r="O53" s="32">
        <v>45796</v>
      </c>
      <c r="P53" s="32">
        <v>45845</v>
      </c>
    </row>
    <row r="54" spans="2:16" x14ac:dyDescent="0.25">
      <c r="B54" s="31">
        <f t="shared" si="1"/>
        <v>52</v>
      </c>
      <c r="C54" s="11" t="s">
        <v>341</v>
      </c>
      <c r="D54" s="9" t="s">
        <v>342</v>
      </c>
      <c r="E54" s="9" t="s">
        <v>346</v>
      </c>
      <c r="F54" s="32" t="s">
        <v>343</v>
      </c>
      <c r="G54" s="43"/>
      <c r="H54" s="32" t="s">
        <v>344</v>
      </c>
      <c r="I54" s="33" t="s">
        <v>19</v>
      </c>
      <c r="J54" s="15" t="s">
        <v>49</v>
      </c>
      <c r="K54" s="15" t="s">
        <v>44</v>
      </c>
      <c r="L54" s="15" t="s">
        <v>22</v>
      </c>
      <c r="M54" s="34" t="s">
        <v>23</v>
      </c>
      <c r="N54" s="35"/>
      <c r="O54" s="32">
        <v>45911</v>
      </c>
      <c r="P54" s="32">
        <v>45940</v>
      </c>
    </row>
    <row r="55" spans="2:16" x14ac:dyDescent="0.25">
      <c r="B55" s="31">
        <f t="shared" si="1"/>
        <v>53</v>
      </c>
      <c r="C55" s="11"/>
      <c r="D55" s="10" t="s">
        <v>200</v>
      </c>
      <c r="E55" s="9" t="s">
        <v>201</v>
      </c>
      <c r="F55" s="32" t="s">
        <v>143</v>
      </c>
      <c r="G55" s="37"/>
      <c r="H55" s="32" t="s">
        <v>144</v>
      </c>
      <c r="I55" s="33"/>
      <c r="J55" s="15" t="s">
        <v>347</v>
      </c>
      <c r="K55" s="15"/>
      <c r="L55" s="15"/>
      <c r="M55" s="34"/>
      <c r="N55" s="35"/>
      <c r="O55" s="32"/>
      <c r="P55" s="15"/>
    </row>
    <row r="56" spans="2:16" x14ac:dyDescent="0.25">
      <c r="B56" s="31">
        <f t="shared" si="1"/>
        <v>54</v>
      </c>
      <c r="C56" s="11"/>
      <c r="D56" s="10" t="s">
        <v>192</v>
      </c>
      <c r="E56" s="10" t="s">
        <v>193</v>
      </c>
      <c r="F56" s="32" t="s">
        <v>105</v>
      </c>
      <c r="G56" s="37"/>
      <c r="H56" s="32" t="s">
        <v>282</v>
      </c>
      <c r="I56" s="33" t="s">
        <v>19</v>
      </c>
      <c r="J56" s="15" t="s">
        <v>347</v>
      </c>
      <c r="K56" s="15" t="s">
        <v>21</v>
      </c>
      <c r="L56" s="15" t="s">
        <v>22</v>
      </c>
      <c r="M56" s="34" t="s">
        <v>23</v>
      </c>
      <c r="N56" s="35"/>
      <c r="O56" s="32">
        <v>45371</v>
      </c>
      <c r="P56" s="32">
        <v>45442</v>
      </c>
    </row>
    <row r="57" spans="2:16" ht="25.5" x14ac:dyDescent="0.25">
      <c r="B57" s="31">
        <f t="shared" si="1"/>
        <v>55</v>
      </c>
      <c r="C57" s="11"/>
      <c r="D57" s="10" t="s">
        <v>194</v>
      </c>
      <c r="E57" s="10" t="s">
        <v>195</v>
      </c>
      <c r="F57" s="32" t="s">
        <v>196</v>
      </c>
      <c r="G57" s="41" t="s">
        <v>318</v>
      </c>
      <c r="H57" s="32"/>
      <c r="I57" s="33" t="s">
        <v>19</v>
      </c>
      <c r="J57" s="15" t="s">
        <v>49</v>
      </c>
      <c r="K57" s="15" t="s">
        <v>28</v>
      </c>
      <c r="L57" s="15" t="s">
        <v>22</v>
      </c>
      <c r="M57" s="34" t="s">
        <v>23</v>
      </c>
      <c r="N57" s="35"/>
      <c r="O57" s="32"/>
      <c r="P57" s="15"/>
    </row>
    <row r="58" spans="2:16" x14ac:dyDescent="0.25">
      <c r="B58" s="31">
        <f t="shared" si="1"/>
        <v>56</v>
      </c>
      <c r="C58" s="11"/>
      <c r="D58" s="10" t="s">
        <v>197</v>
      </c>
      <c r="E58" s="10" t="s">
        <v>198</v>
      </c>
      <c r="F58" s="32" t="s">
        <v>199</v>
      </c>
      <c r="G58" s="37"/>
      <c r="H58" s="32"/>
      <c r="I58" s="33" t="s">
        <v>19</v>
      </c>
      <c r="J58" s="15" t="s">
        <v>49</v>
      </c>
      <c r="K58" s="15" t="s">
        <v>44</v>
      </c>
      <c r="L58" s="15" t="s">
        <v>50</v>
      </c>
      <c r="M58" s="34" t="s">
        <v>23</v>
      </c>
      <c r="N58" s="35" t="s">
        <v>29</v>
      </c>
      <c r="O58" s="32"/>
      <c r="P58" s="32">
        <v>45917</v>
      </c>
    </row>
    <row r="59" spans="2:16" x14ac:dyDescent="0.25">
      <c r="B59" s="31">
        <f t="shared" si="1"/>
        <v>57</v>
      </c>
      <c r="C59" s="11"/>
      <c r="D59" s="10" t="s">
        <v>200</v>
      </c>
      <c r="E59" s="10" t="s">
        <v>202</v>
      </c>
      <c r="F59" s="32" t="s">
        <v>203</v>
      </c>
      <c r="G59" s="37"/>
      <c r="H59" s="32"/>
      <c r="I59" s="33" t="s">
        <v>19</v>
      </c>
      <c r="J59" s="15" t="s">
        <v>347</v>
      </c>
      <c r="K59" s="15" t="s">
        <v>50</v>
      </c>
      <c r="L59" s="15" t="s">
        <v>21</v>
      </c>
      <c r="M59" s="34" t="s">
        <v>34</v>
      </c>
      <c r="N59" s="35"/>
      <c r="O59" s="32"/>
      <c r="P59" s="15"/>
    </row>
    <row r="60" spans="2:16" x14ac:dyDescent="0.25">
      <c r="B60" s="31">
        <f t="shared" si="1"/>
        <v>58</v>
      </c>
      <c r="C60" s="11"/>
      <c r="D60" s="9" t="s">
        <v>204</v>
      </c>
      <c r="E60" s="9" t="s">
        <v>205</v>
      </c>
      <c r="F60" s="32" t="s">
        <v>206</v>
      </c>
      <c r="G60" s="37"/>
      <c r="H60" s="32" t="s">
        <v>283</v>
      </c>
      <c r="I60" s="33" t="s">
        <v>19</v>
      </c>
      <c r="J60" s="15" t="s">
        <v>20</v>
      </c>
      <c r="K60" s="15" t="s">
        <v>50</v>
      </c>
      <c r="L60" s="15" t="s">
        <v>22</v>
      </c>
      <c r="M60" s="34" t="s">
        <v>23</v>
      </c>
      <c r="N60" s="35" t="s">
        <v>163</v>
      </c>
      <c r="O60" s="32">
        <v>45901</v>
      </c>
      <c r="P60" s="15"/>
    </row>
    <row r="61" spans="2:16" x14ac:dyDescent="0.25">
      <c r="B61" s="31">
        <f t="shared" si="1"/>
        <v>59</v>
      </c>
      <c r="C61" s="11"/>
      <c r="D61" s="10" t="s">
        <v>207</v>
      </c>
      <c r="E61" s="10" t="s">
        <v>185</v>
      </c>
      <c r="F61" s="32" t="s">
        <v>108</v>
      </c>
      <c r="G61" s="37"/>
      <c r="H61" s="32" t="s">
        <v>284</v>
      </c>
      <c r="I61" s="33" t="s">
        <v>19</v>
      </c>
      <c r="J61" s="15" t="s">
        <v>347</v>
      </c>
      <c r="K61" s="15" t="s">
        <v>50</v>
      </c>
      <c r="L61" s="15" t="s">
        <v>21</v>
      </c>
      <c r="M61" s="34" t="s">
        <v>34</v>
      </c>
      <c r="N61" s="35"/>
      <c r="O61" s="32"/>
      <c r="P61" s="15"/>
    </row>
    <row r="62" spans="2:16" ht="16.5" x14ac:dyDescent="0.3">
      <c r="B62" s="31">
        <f t="shared" si="1"/>
        <v>60</v>
      </c>
      <c r="C62" s="11"/>
      <c r="D62" s="10" t="s">
        <v>215</v>
      </c>
      <c r="E62" s="10" t="s">
        <v>127</v>
      </c>
      <c r="F62" s="32" t="s">
        <v>216</v>
      </c>
      <c r="G62" s="51" t="s">
        <v>315</v>
      </c>
      <c r="H62" s="32" t="s">
        <v>287</v>
      </c>
      <c r="I62" s="33" t="s">
        <v>27</v>
      </c>
      <c r="J62" s="15" t="s">
        <v>20</v>
      </c>
      <c r="K62" s="15" t="s">
        <v>44</v>
      </c>
      <c r="L62" s="15" t="s">
        <v>50</v>
      </c>
      <c r="M62" s="34" t="s">
        <v>23</v>
      </c>
      <c r="N62" s="35" t="s">
        <v>29</v>
      </c>
      <c r="O62" s="32"/>
      <c r="P62" s="15"/>
    </row>
    <row r="63" spans="2:16" x14ac:dyDescent="0.25">
      <c r="B63" s="31">
        <f t="shared" si="1"/>
        <v>61</v>
      </c>
      <c r="C63" s="11"/>
      <c r="D63" s="10" t="s">
        <v>207</v>
      </c>
      <c r="E63" s="10" t="s">
        <v>185</v>
      </c>
      <c r="F63" s="32" t="s">
        <v>208</v>
      </c>
      <c r="G63" s="37"/>
      <c r="H63" s="32" t="s">
        <v>284</v>
      </c>
      <c r="I63" s="33" t="s">
        <v>19</v>
      </c>
      <c r="J63" s="15" t="s">
        <v>20</v>
      </c>
      <c r="K63" s="15" t="s">
        <v>50</v>
      </c>
      <c r="L63" s="15" t="s">
        <v>21</v>
      </c>
      <c r="M63" s="34" t="s">
        <v>34</v>
      </c>
      <c r="N63" s="35"/>
      <c r="O63" s="32"/>
      <c r="P63" s="15"/>
    </row>
    <row r="64" spans="2:16" x14ac:dyDescent="0.25">
      <c r="B64" s="31">
        <f t="shared" si="1"/>
        <v>62</v>
      </c>
      <c r="C64" s="10" t="s">
        <v>171</v>
      </c>
      <c r="D64" s="9" t="s">
        <v>172</v>
      </c>
      <c r="E64" s="10" t="s">
        <v>92</v>
      </c>
      <c r="F64" s="32" t="s">
        <v>131</v>
      </c>
      <c r="G64" s="37"/>
      <c r="H64" s="32" t="s">
        <v>173</v>
      </c>
      <c r="I64" s="33" t="s">
        <v>19</v>
      </c>
      <c r="J64" s="15" t="s">
        <v>39</v>
      </c>
      <c r="K64" s="15" t="s">
        <v>28</v>
      </c>
      <c r="L64" s="15" t="s">
        <v>21</v>
      </c>
      <c r="M64" s="34" t="s">
        <v>34</v>
      </c>
      <c r="N64" s="35"/>
      <c r="O64" s="32"/>
      <c r="P64" s="15"/>
    </row>
    <row r="65" spans="2:16" ht="40.5" x14ac:dyDescent="0.25">
      <c r="B65" s="31">
        <f t="shared" si="1"/>
        <v>63</v>
      </c>
      <c r="C65" s="10" t="s">
        <v>222</v>
      </c>
      <c r="D65" s="10" t="s">
        <v>223</v>
      </c>
      <c r="E65" s="10" t="s">
        <v>224</v>
      </c>
      <c r="F65" s="32" t="s">
        <v>225</v>
      </c>
      <c r="G65" s="49" t="s">
        <v>319</v>
      </c>
      <c r="H65" s="32" t="s">
        <v>290</v>
      </c>
      <c r="I65" s="33" t="s">
        <v>27</v>
      </c>
      <c r="J65" s="15" t="s">
        <v>49</v>
      </c>
      <c r="K65" s="15" t="s">
        <v>50</v>
      </c>
      <c r="L65" s="15" t="s">
        <v>44</v>
      </c>
      <c r="M65" s="34" t="s">
        <v>23</v>
      </c>
      <c r="N65" s="35" t="s">
        <v>29</v>
      </c>
      <c r="O65" s="32"/>
      <c r="P65" s="15"/>
    </row>
    <row r="66" spans="2:16" x14ac:dyDescent="0.25">
      <c r="B66" s="31">
        <f t="shared" si="1"/>
        <v>64</v>
      </c>
      <c r="C66" s="11"/>
      <c r="D66" s="10" t="s">
        <v>209</v>
      </c>
      <c r="E66" s="10" t="s">
        <v>210</v>
      </c>
      <c r="F66" s="32" t="s">
        <v>211</v>
      </c>
      <c r="G66" s="37"/>
      <c r="H66" s="32" t="s">
        <v>285</v>
      </c>
      <c r="I66" s="33" t="s">
        <v>19</v>
      </c>
      <c r="J66" s="15" t="s">
        <v>20</v>
      </c>
      <c r="K66" s="15" t="s">
        <v>28</v>
      </c>
      <c r="L66" s="15" t="s">
        <v>21</v>
      </c>
      <c r="M66" s="34" t="s">
        <v>23</v>
      </c>
      <c r="N66" s="35"/>
      <c r="O66" s="32">
        <v>45597</v>
      </c>
      <c r="P66" s="32">
        <v>46203</v>
      </c>
    </row>
    <row r="67" spans="2:16" x14ac:dyDescent="0.25">
      <c r="B67" s="31">
        <f t="shared" ref="B67:B91" si="2">ROW()-2</f>
        <v>65</v>
      </c>
      <c r="C67" s="11"/>
      <c r="D67" s="10" t="s">
        <v>212</v>
      </c>
      <c r="E67" s="10" t="s">
        <v>213</v>
      </c>
      <c r="F67" s="32" t="s">
        <v>214</v>
      </c>
      <c r="G67" s="37"/>
      <c r="H67" s="32" t="s">
        <v>286</v>
      </c>
      <c r="I67" s="33" t="s">
        <v>19</v>
      </c>
      <c r="J67" s="15" t="s">
        <v>20</v>
      </c>
      <c r="K67" s="15" t="s">
        <v>28</v>
      </c>
      <c r="L67" s="15" t="s">
        <v>21</v>
      </c>
      <c r="M67" s="34" t="s">
        <v>23</v>
      </c>
      <c r="N67" s="35" t="s">
        <v>29</v>
      </c>
      <c r="O67" s="32"/>
      <c r="P67" s="15"/>
    </row>
    <row r="68" spans="2:16" x14ac:dyDescent="0.25">
      <c r="B68" s="31">
        <f t="shared" si="2"/>
        <v>66</v>
      </c>
      <c r="C68" s="13" t="s">
        <v>232</v>
      </c>
      <c r="D68" s="9" t="s">
        <v>227</v>
      </c>
      <c r="E68" s="9" t="s">
        <v>228</v>
      </c>
      <c r="F68" s="32" t="s">
        <v>233</v>
      </c>
      <c r="G68" s="37"/>
      <c r="H68" s="32" t="s">
        <v>293</v>
      </c>
      <c r="I68" s="33" t="s">
        <v>27</v>
      </c>
      <c r="J68" s="15" t="s">
        <v>39</v>
      </c>
      <c r="K68" s="15" t="s">
        <v>28</v>
      </c>
      <c r="L68" s="15" t="s">
        <v>22</v>
      </c>
      <c r="M68" s="34" t="s">
        <v>23</v>
      </c>
      <c r="N68" s="35"/>
      <c r="O68" s="32"/>
      <c r="P68" s="15"/>
    </row>
    <row r="69" spans="2:16" x14ac:dyDescent="0.25">
      <c r="B69" s="31">
        <f t="shared" si="2"/>
        <v>67</v>
      </c>
      <c r="C69" s="13" t="s">
        <v>234</v>
      </c>
      <c r="D69" s="9" t="s">
        <v>227</v>
      </c>
      <c r="E69" s="9" t="s">
        <v>228</v>
      </c>
      <c r="F69" s="32" t="s">
        <v>235</v>
      </c>
      <c r="G69" s="37"/>
      <c r="H69" s="32" t="s">
        <v>294</v>
      </c>
      <c r="I69" s="33" t="s">
        <v>236</v>
      </c>
      <c r="J69" s="15" t="s">
        <v>39</v>
      </c>
      <c r="K69" s="15" t="s">
        <v>28</v>
      </c>
      <c r="L69" s="15"/>
      <c r="M69" s="34" t="s">
        <v>34</v>
      </c>
      <c r="N69" s="35"/>
      <c r="O69" s="32"/>
      <c r="P69" s="15"/>
    </row>
    <row r="70" spans="2:16" x14ac:dyDescent="0.25">
      <c r="B70" s="31">
        <f t="shared" si="2"/>
        <v>68</v>
      </c>
      <c r="C70" s="11"/>
      <c r="D70" s="10" t="s">
        <v>217</v>
      </c>
      <c r="E70" s="10" t="s">
        <v>218</v>
      </c>
      <c r="F70" s="32" t="s">
        <v>219</v>
      </c>
      <c r="G70" s="37"/>
      <c r="H70" s="32" t="s">
        <v>288</v>
      </c>
      <c r="I70" s="33" t="s">
        <v>27</v>
      </c>
      <c r="J70" s="15" t="s">
        <v>20</v>
      </c>
      <c r="K70" s="15" t="s">
        <v>50</v>
      </c>
      <c r="L70" s="15" t="s">
        <v>21</v>
      </c>
      <c r="M70" s="34" t="s">
        <v>23</v>
      </c>
      <c r="N70" s="35" t="s">
        <v>29</v>
      </c>
      <c r="O70" s="32">
        <v>45712</v>
      </c>
      <c r="P70" s="32">
        <v>45807</v>
      </c>
    </row>
    <row r="71" spans="2:16" x14ac:dyDescent="0.25">
      <c r="B71" s="31">
        <f t="shared" si="2"/>
        <v>69</v>
      </c>
      <c r="C71" s="11"/>
      <c r="D71" s="9" t="s">
        <v>329</v>
      </c>
      <c r="E71" s="9" t="s">
        <v>88</v>
      </c>
      <c r="F71" s="32" t="s">
        <v>330</v>
      </c>
      <c r="G71" s="37"/>
      <c r="H71" s="32"/>
      <c r="I71" s="33" t="s">
        <v>19</v>
      </c>
      <c r="J71" s="15" t="s">
        <v>49</v>
      </c>
      <c r="K71" s="15" t="s">
        <v>44</v>
      </c>
      <c r="L71" s="15" t="s">
        <v>21</v>
      </c>
      <c r="M71" s="34" t="s">
        <v>23</v>
      </c>
      <c r="N71" s="35"/>
      <c r="O71" s="32">
        <v>45915</v>
      </c>
      <c r="P71" s="32">
        <v>46053</v>
      </c>
    </row>
    <row r="72" spans="2:16" x14ac:dyDescent="0.25">
      <c r="B72" s="31">
        <f t="shared" si="2"/>
        <v>70</v>
      </c>
      <c r="C72" s="13" t="s">
        <v>230</v>
      </c>
      <c r="D72" s="10" t="s">
        <v>227</v>
      </c>
      <c r="E72" s="10" t="s">
        <v>228</v>
      </c>
      <c r="F72" s="32" t="s">
        <v>239</v>
      </c>
      <c r="G72" s="37"/>
      <c r="H72" s="32" t="s">
        <v>297</v>
      </c>
      <c r="I72" s="33" t="s">
        <v>236</v>
      </c>
      <c r="J72" s="15" t="s">
        <v>39</v>
      </c>
      <c r="K72" s="15" t="s">
        <v>28</v>
      </c>
      <c r="L72" s="15" t="s">
        <v>50</v>
      </c>
      <c r="M72" s="34" t="s">
        <v>23</v>
      </c>
      <c r="N72" s="35"/>
      <c r="O72" s="32"/>
      <c r="P72" s="15"/>
    </row>
    <row r="73" spans="2:16" x14ac:dyDescent="0.25">
      <c r="B73" s="31">
        <f t="shared" si="2"/>
        <v>71</v>
      </c>
      <c r="C73" s="13" t="s">
        <v>240</v>
      </c>
      <c r="D73" s="10" t="s">
        <v>227</v>
      </c>
      <c r="E73" s="10" t="s">
        <v>228</v>
      </c>
      <c r="F73" s="32" t="s">
        <v>241</v>
      </c>
      <c r="G73" s="37"/>
      <c r="H73" s="32" t="s">
        <v>298</v>
      </c>
      <c r="I73" s="33" t="s">
        <v>236</v>
      </c>
      <c r="J73" s="15" t="s">
        <v>39</v>
      </c>
      <c r="K73" s="15" t="s">
        <v>28</v>
      </c>
      <c r="L73" s="15" t="s">
        <v>50</v>
      </c>
      <c r="M73" s="34" t="s">
        <v>23</v>
      </c>
      <c r="N73" s="35"/>
      <c r="O73" s="32"/>
      <c r="P73" s="15"/>
    </row>
    <row r="74" spans="2:16" x14ac:dyDescent="0.25">
      <c r="B74" s="31">
        <f t="shared" si="2"/>
        <v>72</v>
      </c>
      <c r="C74" s="13" t="s">
        <v>232</v>
      </c>
      <c r="D74" s="9" t="s">
        <v>227</v>
      </c>
      <c r="E74" s="9" t="s">
        <v>228</v>
      </c>
      <c r="F74" s="32" t="s">
        <v>242</v>
      </c>
      <c r="G74" s="37"/>
      <c r="H74" s="32" t="s">
        <v>299</v>
      </c>
      <c r="I74" s="33" t="s">
        <v>27</v>
      </c>
      <c r="J74" s="15" t="s">
        <v>39</v>
      </c>
      <c r="K74" s="15" t="s">
        <v>28</v>
      </c>
      <c r="L74" s="15" t="s">
        <v>22</v>
      </c>
      <c r="M74" s="34" t="s">
        <v>23</v>
      </c>
      <c r="N74" s="35"/>
      <c r="O74" s="32"/>
      <c r="P74" s="15"/>
    </row>
    <row r="75" spans="2:16" x14ac:dyDescent="0.25">
      <c r="B75" s="31">
        <f t="shared" si="2"/>
        <v>73</v>
      </c>
      <c r="C75" s="13" t="s">
        <v>234</v>
      </c>
      <c r="D75" s="9" t="s">
        <v>227</v>
      </c>
      <c r="E75" s="9" t="s">
        <v>228</v>
      </c>
      <c r="F75" s="32" t="s">
        <v>243</v>
      </c>
      <c r="G75" s="37"/>
      <c r="H75" s="32" t="s">
        <v>300</v>
      </c>
      <c r="I75" s="33" t="s">
        <v>236</v>
      </c>
      <c r="J75" s="15" t="s">
        <v>39</v>
      </c>
      <c r="K75" s="15" t="s">
        <v>28</v>
      </c>
      <c r="L75" s="15"/>
      <c r="M75" s="34" t="s">
        <v>34</v>
      </c>
      <c r="N75" s="35"/>
      <c r="O75" s="32"/>
      <c r="P75" s="15"/>
    </row>
    <row r="76" spans="2:16" x14ac:dyDescent="0.25">
      <c r="B76" s="31">
        <f t="shared" si="2"/>
        <v>74</v>
      </c>
      <c r="C76" s="11"/>
      <c r="D76" s="9" t="s">
        <v>322</v>
      </c>
      <c r="E76" s="9" t="s">
        <v>249</v>
      </c>
      <c r="F76" s="32" t="s">
        <v>72</v>
      </c>
      <c r="G76" s="37"/>
      <c r="H76" s="15" t="s">
        <v>323</v>
      </c>
      <c r="I76" s="33" t="s">
        <v>27</v>
      </c>
      <c r="J76" s="15" t="s">
        <v>49</v>
      </c>
      <c r="K76" s="15" t="s">
        <v>55</v>
      </c>
      <c r="L76" s="15" t="s">
        <v>22</v>
      </c>
      <c r="M76" s="34" t="s">
        <v>23</v>
      </c>
      <c r="N76" s="35"/>
      <c r="O76" s="32">
        <v>45870</v>
      </c>
      <c r="P76" s="32">
        <v>45923</v>
      </c>
    </row>
    <row r="77" spans="2:16" x14ac:dyDescent="0.25">
      <c r="B77" s="31">
        <f t="shared" si="2"/>
        <v>75</v>
      </c>
      <c r="C77" s="11"/>
      <c r="D77" s="10" t="s">
        <v>220</v>
      </c>
      <c r="E77" s="9" t="s">
        <v>123</v>
      </c>
      <c r="F77" s="32" t="s">
        <v>221</v>
      </c>
      <c r="G77" s="37"/>
      <c r="H77" s="32" t="s">
        <v>289</v>
      </c>
      <c r="I77" s="33" t="s">
        <v>19</v>
      </c>
      <c r="J77" s="15" t="s">
        <v>20</v>
      </c>
      <c r="K77" s="15" t="s">
        <v>28</v>
      </c>
      <c r="L77" s="15" t="s">
        <v>55</v>
      </c>
      <c r="M77" s="34" t="s">
        <v>34</v>
      </c>
      <c r="N77" s="35"/>
      <c r="O77" s="32"/>
      <c r="P77" s="15"/>
    </row>
    <row r="78" spans="2:16" x14ac:dyDescent="0.25">
      <c r="B78" s="31">
        <f t="shared" si="2"/>
        <v>76</v>
      </c>
      <c r="C78" s="11"/>
      <c r="D78" s="10" t="s">
        <v>250</v>
      </c>
      <c r="E78" s="10" t="s">
        <v>251</v>
      </c>
      <c r="F78" s="32" t="s">
        <v>252</v>
      </c>
      <c r="G78" s="37"/>
      <c r="H78" s="32" t="s">
        <v>301</v>
      </c>
      <c r="I78" s="33" t="s">
        <v>27</v>
      </c>
      <c r="J78" s="15" t="s">
        <v>20</v>
      </c>
      <c r="K78" s="15" t="s">
        <v>22</v>
      </c>
      <c r="L78" s="15" t="s">
        <v>50</v>
      </c>
      <c r="M78" s="34" t="s">
        <v>23</v>
      </c>
      <c r="N78" s="35" t="s">
        <v>29</v>
      </c>
      <c r="O78" s="32"/>
      <c r="P78" s="15"/>
    </row>
    <row r="79" spans="2:16" x14ac:dyDescent="0.25">
      <c r="B79" s="31">
        <f t="shared" si="2"/>
        <v>77</v>
      </c>
      <c r="C79" s="11"/>
      <c r="D79" s="9" t="s">
        <v>331</v>
      </c>
      <c r="E79" s="9" t="s">
        <v>332</v>
      </c>
      <c r="F79" s="32" t="s">
        <v>333</v>
      </c>
      <c r="G79" s="37"/>
      <c r="H79" s="32"/>
      <c r="I79" s="33" t="s">
        <v>19</v>
      </c>
      <c r="J79" s="15" t="s">
        <v>20</v>
      </c>
      <c r="K79" s="15" t="s">
        <v>44</v>
      </c>
      <c r="L79" s="15" t="s">
        <v>55</v>
      </c>
      <c r="M79" s="34" t="s">
        <v>23</v>
      </c>
      <c r="N79" s="35"/>
      <c r="O79" s="32">
        <v>45908</v>
      </c>
      <c r="P79" s="32">
        <v>46387</v>
      </c>
    </row>
    <row r="80" spans="2:16" x14ac:dyDescent="0.25">
      <c r="B80" s="31">
        <f t="shared" si="2"/>
        <v>78</v>
      </c>
      <c r="C80" s="10" t="s">
        <v>226</v>
      </c>
      <c r="D80" s="10" t="s">
        <v>227</v>
      </c>
      <c r="E80" s="10" t="s">
        <v>228</v>
      </c>
      <c r="F80" s="32" t="s">
        <v>229</v>
      </c>
      <c r="G80" s="52"/>
      <c r="H80" s="32" t="s">
        <v>291</v>
      </c>
      <c r="I80" s="33" t="s">
        <v>19</v>
      </c>
      <c r="J80" s="15" t="s">
        <v>39</v>
      </c>
      <c r="K80" s="15" t="s">
        <v>28</v>
      </c>
      <c r="L80" s="15" t="s">
        <v>50</v>
      </c>
      <c r="M80" s="34"/>
      <c r="N80" s="35"/>
      <c r="O80" s="32"/>
      <c r="P80" s="15"/>
    </row>
    <row r="81" spans="2:16" x14ac:dyDescent="0.25">
      <c r="B81" s="31">
        <f t="shared" si="2"/>
        <v>79</v>
      </c>
      <c r="C81" s="13" t="s">
        <v>230</v>
      </c>
      <c r="D81" s="10" t="s">
        <v>227</v>
      </c>
      <c r="E81" s="10" t="s">
        <v>228</v>
      </c>
      <c r="F81" s="32" t="s">
        <v>231</v>
      </c>
      <c r="G81" s="37"/>
      <c r="H81" s="32" t="s">
        <v>292</v>
      </c>
      <c r="I81" s="33" t="s">
        <v>19</v>
      </c>
      <c r="J81" s="15" t="s">
        <v>39</v>
      </c>
      <c r="K81" s="15" t="s">
        <v>28</v>
      </c>
      <c r="L81" s="15" t="s">
        <v>50</v>
      </c>
      <c r="M81" s="34" t="s">
        <v>23</v>
      </c>
      <c r="N81" s="35"/>
      <c r="O81" s="32"/>
      <c r="P81" s="15"/>
    </row>
    <row r="82" spans="2:16" x14ac:dyDescent="0.25">
      <c r="B82" s="31">
        <f t="shared" si="2"/>
        <v>80</v>
      </c>
      <c r="C82" s="13" t="s">
        <v>230</v>
      </c>
      <c r="D82" s="10" t="s">
        <v>227</v>
      </c>
      <c r="E82" s="10" t="s">
        <v>228</v>
      </c>
      <c r="F82" s="32" t="s">
        <v>237</v>
      </c>
      <c r="G82" s="52"/>
      <c r="H82" s="32" t="s">
        <v>295</v>
      </c>
      <c r="I82" s="33" t="s">
        <v>19</v>
      </c>
      <c r="J82" s="15" t="s">
        <v>39</v>
      </c>
      <c r="K82" s="15" t="s">
        <v>28</v>
      </c>
      <c r="L82" s="15" t="s">
        <v>50</v>
      </c>
      <c r="M82" s="34" t="s">
        <v>23</v>
      </c>
      <c r="N82" s="35"/>
      <c r="O82" s="32"/>
      <c r="P82" s="15"/>
    </row>
    <row r="83" spans="2:16" x14ac:dyDescent="0.25">
      <c r="B83" s="31">
        <f t="shared" si="2"/>
        <v>81</v>
      </c>
      <c r="C83" s="10" t="s">
        <v>264</v>
      </c>
      <c r="D83" s="9" t="s">
        <v>265</v>
      </c>
      <c r="E83" s="10" t="s">
        <v>266</v>
      </c>
      <c r="F83" s="32" t="s">
        <v>267</v>
      </c>
      <c r="G83" s="37"/>
      <c r="H83" s="32" t="s">
        <v>306</v>
      </c>
      <c r="I83" s="33" t="s">
        <v>27</v>
      </c>
      <c r="J83" s="15" t="s">
        <v>39</v>
      </c>
      <c r="K83" s="15" t="s">
        <v>28</v>
      </c>
      <c r="L83" s="15" t="s">
        <v>44</v>
      </c>
      <c r="M83" s="34"/>
      <c r="N83" s="35"/>
      <c r="O83" s="32"/>
      <c r="P83" s="15"/>
    </row>
    <row r="84" spans="2:16" x14ac:dyDescent="0.25">
      <c r="B84" s="31">
        <f t="shared" si="2"/>
        <v>82</v>
      </c>
      <c r="C84" s="13" t="s">
        <v>230</v>
      </c>
      <c r="D84" s="10" t="s">
        <v>227</v>
      </c>
      <c r="E84" s="10" t="s">
        <v>228</v>
      </c>
      <c r="F84" s="32" t="s">
        <v>238</v>
      </c>
      <c r="G84" s="52"/>
      <c r="H84" s="32" t="s">
        <v>296</v>
      </c>
      <c r="I84" s="33" t="s">
        <v>19</v>
      </c>
      <c r="J84" s="15" t="s">
        <v>39</v>
      </c>
      <c r="K84" s="15" t="s">
        <v>28</v>
      </c>
      <c r="L84" s="15" t="s">
        <v>50</v>
      </c>
      <c r="M84" s="34" t="s">
        <v>23</v>
      </c>
      <c r="N84" s="35"/>
      <c r="O84" s="32"/>
      <c r="P84" s="15"/>
    </row>
    <row r="85" spans="2:16" x14ac:dyDescent="0.25">
      <c r="B85" s="31">
        <f t="shared" si="2"/>
        <v>83</v>
      </c>
      <c r="C85" s="10" t="s">
        <v>244</v>
      </c>
      <c r="D85" s="10" t="s">
        <v>245</v>
      </c>
      <c r="E85" s="9" t="s">
        <v>246</v>
      </c>
      <c r="F85" s="32" t="s">
        <v>247</v>
      </c>
      <c r="G85" s="37"/>
      <c r="H85" s="32"/>
      <c r="I85" s="33" t="s">
        <v>19</v>
      </c>
      <c r="J85" s="15" t="s">
        <v>39</v>
      </c>
      <c r="K85" s="15" t="s">
        <v>28</v>
      </c>
      <c r="L85" s="15" t="s">
        <v>55</v>
      </c>
      <c r="M85" s="34" t="s">
        <v>23</v>
      </c>
      <c r="N85" s="35"/>
      <c r="O85" s="32"/>
      <c r="P85" s="15"/>
    </row>
    <row r="86" spans="2:16" x14ac:dyDescent="0.25">
      <c r="B86" s="31">
        <f t="shared" si="2"/>
        <v>84</v>
      </c>
      <c r="C86" s="11"/>
      <c r="D86" s="10" t="s">
        <v>248</v>
      </c>
      <c r="E86" s="10" t="s">
        <v>249</v>
      </c>
      <c r="F86" s="32" t="s">
        <v>186</v>
      </c>
      <c r="G86" s="37"/>
      <c r="H86" s="32" t="s">
        <v>301</v>
      </c>
      <c r="I86" s="33" t="s">
        <v>19</v>
      </c>
      <c r="J86" s="15" t="s">
        <v>20</v>
      </c>
      <c r="K86" s="15" t="s">
        <v>50</v>
      </c>
      <c r="L86" s="15" t="s">
        <v>22</v>
      </c>
      <c r="M86" s="34" t="s">
        <v>23</v>
      </c>
      <c r="N86" s="35"/>
      <c r="O86" s="32">
        <v>45670</v>
      </c>
      <c r="P86" s="32">
        <v>45765</v>
      </c>
    </row>
    <row r="87" spans="2:16" x14ac:dyDescent="0.25">
      <c r="B87" s="31">
        <f t="shared" si="2"/>
        <v>85</v>
      </c>
      <c r="C87" s="11"/>
      <c r="D87" s="10" t="s">
        <v>253</v>
      </c>
      <c r="E87" s="10" t="s">
        <v>254</v>
      </c>
      <c r="F87" s="32" t="s">
        <v>255</v>
      </c>
      <c r="G87" s="37"/>
      <c r="H87" s="32" t="s">
        <v>302</v>
      </c>
      <c r="I87" s="33" t="s">
        <v>19</v>
      </c>
      <c r="J87" s="15" t="s">
        <v>20</v>
      </c>
      <c r="K87" s="15" t="s">
        <v>21</v>
      </c>
      <c r="L87" s="15" t="s">
        <v>50</v>
      </c>
      <c r="M87" s="34" t="s">
        <v>23</v>
      </c>
      <c r="N87" s="35" t="s">
        <v>29</v>
      </c>
      <c r="O87" s="32">
        <v>45625</v>
      </c>
      <c r="P87" s="15"/>
    </row>
    <row r="88" spans="2:16" x14ac:dyDescent="0.25">
      <c r="B88" s="31">
        <f t="shared" si="2"/>
        <v>86</v>
      </c>
      <c r="C88" s="11"/>
      <c r="D88" s="10" t="s">
        <v>256</v>
      </c>
      <c r="E88" s="10" t="s">
        <v>257</v>
      </c>
      <c r="F88" s="32" t="s">
        <v>258</v>
      </c>
      <c r="G88" s="41" t="s">
        <v>312</v>
      </c>
      <c r="H88" s="32" t="s">
        <v>303</v>
      </c>
      <c r="I88" s="33" t="s">
        <v>19</v>
      </c>
      <c r="J88" s="15" t="s">
        <v>39</v>
      </c>
      <c r="K88" s="15" t="s">
        <v>28</v>
      </c>
      <c r="L88" s="15" t="s">
        <v>22</v>
      </c>
      <c r="M88" s="34" t="s">
        <v>23</v>
      </c>
      <c r="N88" s="35"/>
      <c r="O88" s="32"/>
      <c r="P88" s="15"/>
    </row>
    <row r="89" spans="2:16" x14ac:dyDescent="0.25">
      <c r="B89" s="31">
        <f t="shared" si="2"/>
        <v>87</v>
      </c>
      <c r="C89" s="11"/>
      <c r="D89" s="38" t="s">
        <v>259</v>
      </c>
      <c r="E89" s="39" t="s">
        <v>260</v>
      </c>
      <c r="F89" s="37" t="s">
        <v>261</v>
      </c>
      <c r="G89" s="37"/>
      <c r="H89" s="37" t="s">
        <v>304</v>
      </c>
      <c r="I89" s="40" t="s">
        <v>19</v>
      </c>
      <c r="J89" s="41" t="s">
        <v>347</v>
      </c>
      <c r="K89" s="41" t="s">
        <v>28</v>
      </c>
      <c r="L89" s="41" t="s">
        <v>55</v>
      </c>
      <c r="M89" s="34" t="s">
        <v>34</v>
      </c>
      <c r="N89" s="35"/>
      <c r="O89" s="37"/>
      <c r="P89" s="15"/>
    </row>
    <row r="90" spans="2:16" x14ac:dyDescent="0.25">
      <c r="B90" s="31">
        <f t="shared" si="2"/>
        <v>88</v>
      </c>
      <c r="C90" s="11"/>
      <c r="D90" s="10" t="s">
        <v>262</v>
      </c>
      <c r="E90" s="10" t="s">
        <v>159</v>
      </c>
      <c r="F90" s="32" t="s">
        <v>263</v>
      </c>
      <c r="G90" s="41" t="s">
        <v>310</v>
      </c>
      <c r="H90" s="32" t="s">
        <v>305</v>
      </c>
      <c r="I90" s="33" t="s">
        <v>19</v>
      </c>
      <c r="J90" s="15" t="s">
        <v>49</v>
      </c>
      <c r="K90" s="15" t="s">
        <v>44</v>
      </c>
      <c r="L90" s="15" t="s">
        <v>21</v>
      </c>
      <c r="M90" s="34" t="s">
        <v>23</v>
      </c>
      <c r="N90" s="35"/>
      <c r="O90" s="32">
        <v>45611</v>
      </c>
      <c r="P90" s="32">
        <v>45991</v>
      </c>
    </row>
    <row r="91" spans="2:16" x14ac:dyDescent="0.25">
      <c r="B91" s="31">
        <f t="shared" si="2"/>
        <v>89</v>
      </c>
      <c r="C91" s="11"/>
      <c r="D91" s="10" t="s">
        <v>268</v>
      </c>
      <c r="E91" s="10" t="s">
        <v>16</v>
      </c>
      <c r="F91" s="32" t="s">
        <v>269</v>
      </c>
      <c r="G91" s="41" t="s">
        <v>320</v>
      </c>
      <c r="H91" s="32" t="s">
        <v>307</v>
      </c>
      <c r="I91" s="33" t="s">
        <v>19</v>
      </c>
      <c r="J91" s="15" t="s">
        <v>49</v>
      </c>
      <c r="K91" s="15" t="s">
        <v>44</v>
      </c>
      <c r="L91" s="15" t="s">
        <v>21</v>
      </c>
      <c r="M91" s="34" t="s">
        <v>23</v>
      </c>
      <c r="N91" s="35" t="s">
        <v>29</v>
      </c>
      <c r="O91" s="32"/>
      <c r="P91" s="15"/>
    </row>
    <row r="92" spans="2:16" x14ac:dyDescent="0.25">
      <c r="B92" s="31">
        <f t="shared" ref="B92:B97" si="3">ROW()-2</f>
        <v>90</v>
      </c>
      <c r="C92" s="11"/>
      <c r="D92" s="9" t="s">
        <v>248</v>
      </c>
      <c r="E92" s="9" t="s">
        <v>88</v>
      </c>
      <c r="F92" s="32" t="s">
        <v>352</v>
      </c>
      <c r="G92" s="43"/>
      <c r="H92" s="32"/>
      <c r="I92" s="33"/>
      <c r="J92" s="15" t="s">
        <v>49</v>
      </c>
      <c r="K92" s="15"/>
      <c r="L92" s="15"/>
      <c r="M92" s="34"/>
      <c r="N92" s="35"/>
      <c r="O92" s="32"/>
      <c r="P92" s="32"/>
    </row>
    <row r="93" spans="2:16" x14ac:dyDescent="0.25">
      <c r="B93" s="31">
        <f t="shared" si="3"/>
        <v>91</v>
      </c>
      <c r="C93" s="11"/>
      <c r="D93" s="9" t="s">
        <v>248</v>
      </c>
      <c r="E93" s="9" t="s">
        <v>88</v>
      </c>
      <c r="F93" s="32" t="s">
        <v>353</v>
      </c>
      <c r="G93" s="43"/>
      <c r="H93" s="32"/>
      <c r="I93" s="33"/>
      <c r="J93" s="15" t="s">
        <v>347</v>
      </c>
      <c r="K93" s="15"/>
      <c r="L93" s="15"/>
      <c r="M93" s="34"/>
      <c r="N93" s="35"/>
      <c r="O93" s="32"/>
      <c r="P93" s="32"/>
    </row>
    <row r="94" spans="2:16" x14ac:dyDescent="0.25">
      <c r="B94" s="31">
        <f t="shared" si="3"/>
        <v>92</v>
      </c>
      <c r="C94" s="11"/>
      <c r="D94" s="9" t="s">
        <v>248</v>
      </c>
      <c r="E94" s="9" t="s">
        <v>88</v>
      </c>
      <c r="F94" s="32" t="s">
        <v>354</v>
      </c>
      <c r="G94" s="43"/>
      <c r="H94" s="32"/>
      <c r="I94" s="33"/>
      <c r="J94" s="15" t="s">
        <v>49</v>
      </c>
      <c r="K94" s="15"/>
      <c r="L94" s="15"/>
      <c r="M94" s="34"/>
      <c r="N94" s="35"/>
      <c r="O94" s="32"/>
      <c r="P94" s="32"/>
    </row>
    <row r="95" spans="2:16" x14ac:dyDescent="0.25">
      <c r="B95" s="31">
        <f t="shared" si="3"/>
        <v>93</v>
      </c>
      <c r="C95" s="11" t="s">
        <v>349</v>
      </c>
      <c r="D95" s="9" t="s">
        <v>177</v>
      </c>
      <c r="E95" s="9" t="s">
        <v>348</v>
      </c>
      <c r="F95" s="32" t="s">
        <v>350</v>
      </c>
      <c r="G95" s="43"/>
      <c r="H95" s="32" t="s">
        <v>351</v>
      </c>
      <c r="I95" s="33" t="s">
        <v>19</v>
      </c>
      <c r="J95" s="15" t="s">
        <v>49</v>
      </c>
      <c r="K95" s="15" t="s">
        <v>22</v>
      </c>
      <c r="L95" s="15"/>
      <c r="M95" s="34" t="s">
        <v>23</v>
      </c>
      <c r="N95" s="35"/>
      <c r="O95" s="32">
        <v>45936</v>
      </c>
      <c r="P95" s="32">
        <v>46052</v>
      </c>
    </row>
    <row r="96" spans="2:16" x14ac:dyDescent="0.25">
      <c r="B96" s="31">
        <f t="shared" si="3"/>
        <v>94</v>
      </c>
      <c r="C96" s="11"/>
      <c r="D96" s="9" t="s">
        <v>356</v>
      </c>
      <c r="E96" s="9" t="s">
        <v>357</v>
      </c>
      <c r="F96" s="32" t="s">
        <v>358</v>
      </c>
      <c r="G96" s="41" t="s">
        <v>359</v>
      </c>
      <c r="H96" s="32"/>
      <c r="I96" s="33" t="s">
        <v>19</v>
      </c>
      <c r="J96" s="15" t="s">
        <v>20</v>
      </c>
      <c r="K96" s="15" t="s">
        <v>55</v>
      </c>
      <c r="L96" s="15" t="s">
        <v>55</v>
      </c>
      <c r="M96" s="34" t="s">
        <v>23</v>
      </c>
      <c r="N96" s="35" t="s">
        <v>29</v>
      </c>
      <c r="O96" s="32"/>
      <c r="P96" s="32"/>
    </row>
    <row r="97" spans="2:16" ht="27" x14ac:dyDescent="0.25">
      <c r="B97" s="31">
        <f t="shared" si="3"/>
        <v>95</v>
      </c>
      <c r="C97" s="10" t="s">
        <v>355</v>
      </c>
      <c r="D97" s="9" t="s">
        <v>111</v>
      </c>
      <c r="E97" s="10" t="s">
        <v>112</v>
      </c>
      <c r="F97" s="32" t="s">
        <v>113</v>
      </c>
      <c r="G97" s="50" t="s">
        <v>313</v>
      </c>
      <c r="H97" s="32" t="s">
        <v>114</v>
      </c>
      <c r="I97" s="33" t="s">
        <v>19</v>
      </c>
      <c r="J97" s="15" t="s">
        <v>39</v>
      </c>
      <c r="K97" s="15"/>
      <c r="L97" s="15"/>
      <c r="M97" s="34" t="s">
        <v>23</v>
      </c>
      <c r="N97" s="35"/>
      <c r="O97" s="32"/>
      <c r="P97" s="15"/>
    </row>
    <row r="98" spans="2:16" x14ac:dyDescent="0.25">
      <c r="B98" s="55"/>
      <c r="C98" s="56"/>
      <c r="D98" s="57"/>
      <c r="E98" s="56"/>
      <c r="F98" s="58"/>
      <c r="G98" s="59"/>
      <c r="H98" s="58"/>
      <c r="I98" s="60"/>
      <c r="J98" s="61"/>
      <c r="K98" s="61"/>
      <c r="L98" s="61"/>
      <c r="M98" s="62"/>
      <c r="N98" s="63"/>
      <c r="O98" s="58"/>
      <c r="P98" s="61"/>
    </row>
    <row r="99" spans="2:16" ht="16.5" x14ac:dyDescent="0.3">
      <c r="C99" s="12"/>
    </row>
    <row r="100" spans="2:16" x14ac:dyDescent="0.25">
      <c r="C100" s="24"/>
      <c r="D100" s="25" t="s">
        <v>9</v>
      </c>
      <c r="E100" s="25" t="s">
        <v>10</v>
      </c>
      <c r="F100" s="26" t="s">
        <v>270</v>
      </c>
      <c r="G100" s="45"/>
      <c r="H100" s="1"/>
    </row>
    <row r="101" spans="2:16" x14ac:dyDescent="0.25">
      <c r="C101" s="14" t="s">
        <v>271</v>
      </c>
      <c r="D101" s="15">
        <f>COUNTIFS(I3:I97,"ATTIVO",K3:K97,"DARIO FLORE")</f>
        <v>26</v>
      </c>
      <c r="E101" s="15">
        <f>COUNTIFS(I3:I97,"ATTIVO",L3:L97,"DARIO FLORE")</f>
        <v>0</v>
      </c>
      <c r="F101" s="16">
        <f>Tabella2[[#This Row],[Colonna2]]+E101</f>
        <v>26</v>
      </c>
      <c r="G101" s="46"/>
      <c r="H101" s="2"/>
    </row>
    <row r="102" spans="2:16" x14ac:dyDescent="0.25">
      <c r="C102" s="14" t="s">
        <v>272</v>
      </c>
      <c r="D102" s="15">
        <f>COUNTIFS(I3:I97,"ATTIVO",K3:K97,"CLAUDIA TURCO")</f>
        <v>13</v>
      </c>
      <c r="E102" s="15">
        <f>COUNTIFS(I3:I97,"ATTIVO",L3:L97,"CLAUDIA TURCO")</f>
        <v>5</v>
      </c>
      <c r="F102" s="16">
        <f>Tabella2[[#This Row],[Colonna2]]+E102</f>
        <v>18</v>
      </c>
      <c r="G102" s="46"/>
      <c r="H102" s="2"/>
    </row>
    <row r="103" spans="2:16" x14ac:dyDescent="0.25">
      <c r="C103" s="14" t="s">
        <v>273</v>
      </c>
      <c r="D103" s="15">
        <f>COUNTIFS(I3:I97,"ATTIVO",K3:K97,"VITANIA RUBINO")</f>
        <v>8</v>
      </c>
      <c r="E103" s="15">
        <f>COUNTIFS(I3:I97,"ATTIVO",L3:L97,"VITANIA RUBINO")</f>
        <v>17</v>
      </c>
      <c r="F103" s="16">
        <f>Tabella2[[#This Row],[Colonna2]]+E103</f>
        <v>25</v>
      </c>
      <c r="G103" s="46"/>
      <c r="H103" s="2"/>
    </row>
    <row r="104" spans="2:16" x14ac:dyDescent="0.25">
      <c r="C104" s="14" t="s">
        <v>274</v>
      </c>
      <c r="D104" s="15">
        <f>COUNTIFS(I3:I97,"ATTIVO",K3:K97,"MARCO EPIFANI")</f>
        <v>3</v>
      </c>
      <c r="E104" s="15">
        <f>COUNTIFS(I3:I97,"ATTIVO",L3:L97,"MARCO EPIFANI")</f>
        <v>10</v>
      </c>
      <c r="F104" s="16">
        <f>Tabella2[[#This Row],[Colonna2]]+E104</f>
        <v>13</v>
      </c>
      <c r="G104" s="46"/>
      <c r="H104" s="2"/>
    </row>
    <row r="105" spans="2:16" x14ac:dyDescent="0.25">
      <c r="C105" s="14" t="s">
        <v>275</v>
      </c>
      <c r="D105" s="15">
        <f>COUNTIFS(I3:I97,"ATTIVO",K3:K97,"RAFFAELE ZIVOLI")</f>
        <v>13</v>
      </c>
      <c r="E105" s="15">
        <f>COUNTIFS(I3:I97,"ATTIVO",L3:L97,"RAFFAELE ZIVOLI")</f>
        <v>12</v>
      </c>
      <c r="F105" s="16">
        <f>Tabella2[[#This Row],[Colonna2]]+E105</f>
        <v>25</v>
      </c>
      <c r="G105" s="46"/>
      <c r="H105" s="2"/>
    </row>
    <row r="106" spans="2:16" x14ac:dyDescent="0.25">
      <c r="C106" s="17" t="s">
        <v>276</v>
      </c>
      <c r="D106" s="27">
        <f>COUNTIFS(I3:I97,"ATTIVO",K3:K97,"Ilaria Cavallo")</f>
        <v>3</v>
      </c>
      <c r="E106" s="27">
        <f>COUNTIFS(I3:I97,"ATTIVO",L3:L97,"ILARIA CAVALLO")</f>
        <v>20</v>
      </c>
      <c r="F106" s="28">
        <f>Tabella2[[#This Row],[Colonna2]]+E106</f>
        <v>23</v>
      </c>
      <c r="G106" s="46"/>
      <c r="H106" s="2"/>
    </row>
    <row r="109" spans="2:16" x14ac:dyDescent="0.25">
      <c r="D109" s="64" t="s">
        <v>277</v>
      </c>
      <c r="E109" s="64"/>
    </row>
    <row r="110" spans="2:16" x14ac:dyDescent="0.25">
      <c r="C110" s="5"/>
      <c r="D110" s="18"/>
      <c r="E110" s="15" t="s">
        <v>278</v>
      </c>
    </row>
    <row r="111" spans="2:16" x14ac:dyDescent="0.25">
      <c r="C111" s="5"/>
      <c r="D111" s="19"/>
      <c r="E111" s="20" t="s">
        <v>279</v>
      </c>
    </row>
    <row r="112" spans="2:16" x14ac:dyDescent="0.25">
      <c r="C112" s="5"/>
      <c r="D112" s="21"/>
      <c r="E112" s="15" t="s">
        <v>280</v>
      </c>
    </row>
    <row r="113" spans="3:6" x14ac:dyDescent="0.25">
      <c r="D113" s="22"/>
      <c r="E113" s="20" t="s">
        <v>281</v>
      </c>
    </row>
    <row r="116" spans="3:6" x14ac:dyDescent="0.25">
      <c r="C116" s="23"/>
    </row>
    <row r="121" spans="3:6" ht="15" customHeight="1" x14ac:dyDescent="0.25">
      <c r="D121" s="9" t="s">
        <v>248</v>
      </c>
      <c r="E121" s="9" t="s">
        <v>88</v>
      </c>
      <c r="F121" s="32" t="s">
        <v>352</v>
      </c>
    </row>
    <row r="122" spans="3:6" ht="15" customHeight="1" x14ac:dyDescent="0.25">
      <c r="D122" s="9" t="s">
        <v>248</v>
      </c>
      <c r="E122" s="9" t="s">
        <v>88</v>
      </c>
      <c r="F122" s="32" t="s">
        <v>353</v>
      </c>
    </row>
    <row r="123" spans="3:6" ht="15" customHeight="1" x14ac:dyDescent="0.25">
      <c r="D123" s="9" t="s">
        <v>248</v>
      </c>
      <c r="E123" s="9" t="s">
        <v>88</v>
      </c>
      <c r="F123" s="32" t="s">
        <v>354</v>
      </c>
    </row>
  </sheetData>
  <autoFilter ref="B2:P97" xr:uid="{FFD3A71B-DFDE-4D38-BB34-260BFB612227}"/>
  <dataConsolidate/>
  <mergeCells count="1">
    <mergeCell ref="D109:E109"/>
  </mergeCells>
  <phoneticPr fontId="17" type="noConversion"/>
  <conditionalFormatting sqref="M1:M1048576">
    <cfRule type="containsText" dxfId="18" priority="12" operator="containsText" text="non firmato">
      <formula>NOT(ISERROR(SEARCH("non firmato",M1)))</formula>
    </cfRule>
    <cfRule type="containsText" dxfId="17" priority="13" operator="containsText" text="firmato">
      <formula>NOT(ISERROR(SEARCH("firmato",M1)))</formula>
    </cfRule>
  </conditionalFormatting>
  <conditionalFormatting sqref="N1:N1048576">
    <cfRule type="containsText" dxfId="16" priority="10" operator="containsText" text="no">
      <formula>NOT(ISERROR(SEARCH("no",N1)))</formula>
    </cfRule>
    <cfRule type="containsText" dxfId="15" priority="11" operator="containsText" text="si">
      <formula>NOT(ISERROR(SEARCH("si",N1)))</formula>
    </cfRule>
  </conditionalFormatting>
  <conditionalFormatting sqref="P3:P19 P21:P98">
    <cfRule type="expression" dxfId="14" priority="6">
      <formula>AND(P3&lt;&gt;"""", P3&gt;TODAY()+30)</formula>
    </cfRule>
    <cfRule type="expression" dxfId="13" priority="7">
      <formula>AND(P3&lt;&gt;"""", P3&gt;TODAY()+7, P3&lt;=TODAY()+30)</formula>
    </cfRule>
    <cfRule type="expression" dxfId="12" priority="8">
      <formula>AND(P3&lt;&gt;"""", P3&gt;=TODAY(), P3&lt;=TODAY()+7)</formula>
    </cfRule>
    <cfRule type="expression" dxfId="11" priority="9">
      <formula>AND(P3&lt;&gt;"", P3&lt;TODAY())</formula>
    </cfRule>
  </conditionalFormatting>
  <conditionalFormatting sqref="P20">
    <cfRule type="expression" dxfId="10" priority="1">
      <formula>AND(P20&lt;&gt;"""", P20&gt;TODAY()+30)</formula>
    </cfRule>
    <cfRule type="expression" dxfId="9" priority="2">
      <formula>AND(P20&lt;&gt;"""", P20&gt;TODAY()+7, P20&lt;=TODAY()+30)</formula>
    </cfRule>
    <cfRule type="expression" dxfId="8" priority="3">
      <formula>AND(P20&lt;&gt;"""", P20&gt;=TODAY(), P20&lt;=TODAY()+7)</formula>
    </cfRule>
    <cfRule type="expression" dxfId="7" priority="4">
      <formula>AND(P20&lt;&gt;"", P20&lt;TODAY())</formula>
    </cfRule>
  </conditionalFormatting>
  <dataValidations count="4">
    <dataValidation type="list" allowBlank="1" showInputMessage="1" showErrorMessage="1" sqref="I3:I98" xr:uid="{00000000-0002-0000-0000-000000000000}">
      <formula1>"Attivo,Chiuso,Dormiente"</formula1>
      <formula2>0</formula2>
    </dataValidation>
    <dataValidation type="list" allowBlank="1" showInputMessage="1" showErrorMessage="1" sqref="L1 L99:L1113 M2:M98" xr:uid="{00000000-0002-0000-0000-000002000000}">
      <formula1>"Firmato,Non firmato"</formula1>
      <formula2>0</formula2>
    </dataValidation>
    <dataValidation type="list" allowBlank="1" showInputMessage="1" showErrorMessage="1" sqref="N1:N1113" xr:uid="{00000000-0002-0000-0000-000003000000}">
      <formula1>"SI,NO"</formula1>
      <formula2>0</formula2>
    </dataValidation>
    <dataValidation type="list" allowBlank="1" showInputMessage="1" showErrorMessage="1" sqref="J3:J98" xr:uid="{12A9BD33-C3C2-41B3-8CEA-F319628B1DAF}">
      <formula1>"1 Fascia, 2 Fascia, 3 Fascia, 4 Fascia, -"</formula1>
    </dataValidation>
  </dataValidations>
  <hyperlinks>
    <hyperlink ref="G27" r:id="rId1" tooltip="Invia messaggio a" display="mailto:ugodeluca@sentinel.it" xr:uid="{00000000-0004-0000-0000-000000000000}"/>
    <hyperlink ref="G3" r:id="rId2" xr:uid="{00000000-0004-0000-0000-000001000000}"/>
    <hyperlink ref="G10" r:id="rId3" xr:uid="{EFFEC931-3F83-462E-B3EF-B8DFA227E748}"/>
    <hyperlink ref="G52" r:id="rId4" xr:uid="{47C9BAAA-5FAF-4AF0-9936-F2DA28FDBCFD}"/>
    <hyperlink ref="G97" r:id="rId5" tooltip="Invia messaggio a" display="mailto:ugodeluca@sentinel.it" xr:uid="{012311D7-A91C-4967-9995-8B741FA09A3E}"/>
  </hyperlinks>
  <pageMargins left="0.2" right="0.2" top="0.32013888888888897" bottom="0.2" header="0.511811023622047" footer="0.511811023622047"/>
  <pageSetup paperSize="9" scale="43" orientation="landscape" horizontalDpi="300" verticalDpi="300" r:id="rId6"/>
  <legacyDrawing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Msi</dc:creator>
  <dc:description/>
  <cp:lastModifiedBy>Msi</cp:lastModifiedBy>
  <cp:revision>2</cp:revision>
  <cp:lastPrinted>2025-10-09T14:36:13Z</cp:lastPrinted>
  <dcterms:created xsi:type="dcterms:W3CDTF">2015-06-05T18:19:34Z</dcterms:created>
  <dcterms:modified xsi:type="dcterms:W3CDTF">2025-10-10T12:59:05Z</dcterms:modified>
  <dc:language>it-IT</dc:language>
</cp:coreProperties>
</file>